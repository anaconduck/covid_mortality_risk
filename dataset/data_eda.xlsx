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Wahyu Kusuma\Downloads\"/>
    </mc:Choice>
  </mc:AlternateContent>
  <xr:revisionPtr revIDLastSave="0" documentId="13_ncr:1_{578D464A-3593-4607-85FB-6128373A35E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hrfeeixURszGKXa5Q/ochK5XtRoA=="/>
    </ext>
  </extLst>
</workbook>
</file>

<file path=xl/calcChain.xml><?xml version="1.0" encoding="utf-8"?>
<calcChain xmlns="http://schemas.openxmlformats.org/spreadsheetml/2006/main">
  <c r="C170" i="1" l="1"/>
  <c r="J168" i="1"/>
  <c r="C168" i="1"/>
  <c r="C166" i="1"/>
  <c r="C162" i="1"/>
  <c r="C159" i="1"/>
  <c r="C157" i="1"/>
  <c r="C156" i="1"/>
  <c r="C155" i="1"/>
  <c r="C153" i="1"/>
  <c r="C152" i="1"/>
  <c r="C150" i="1"/>
  <c r="C148" i="1"/>
  <c r="C146" i="1"/>
  <c r="C144" i="1"/>
  <c r="C141" i="1"/>
  <c r="C140" i="1"/>
  <c r="C139" i="1"/>
  <c r="C138" i="1"/>
  <c r="C134" i="1"/>
  <c r="J133" i="1"/>
  <c r="C133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7" i="1"/>
  <c r="C106" i="1"/>
  <c r="C105" i="1"/>
  <c r="C104" i="1"/>
  <c r="C103" i="1"/>
  <c r="C102" i="1"/>
  <c r="C101" i="1"/>
  <c r="C98" i="1"/>
  <c r="C97" i="1"/>
  <c r="C96" i="1"/>
  <c r="C95" i="1"/>
  <c r="C94" i="1"/>
  <c r="C93" i="1"/>
  <c r="C92" i="1"/>
  <c r="C91" i="1"/>
  <c r="C90" i="1"/>
  <c r="C89" i="1"/>
  <c r="C86" i="1"/>
  <c r="C85" i="1"/>
  <c r="C84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8" i="1"/>
  <c r="C67" i="1"/>
  <c r="C66" i="1"/>
  <c r="C63" i="1"/>
  <c r="C62" i="1"/>
  <c r="C61" i="1"/>
  <c r="C60" i="1"/>
  <c r="C59" i="1"/>
  <c r="C58" i="1"/>
  <c r="C57" i="1"/>
  <c r="C56" i="1"/>
  <c r="C55" i="1"/>
  <c r="C53" i="1"/>
  <c r="C52" i="1"/>
  <c r="C51" i="1"/>
  <c r="C50" i="1"/>
  <c r="C49" i="1"/>
  <c r="C48" i="1"/>
  <c r="C47" i="1"/>
  <c r="C46" i="1"/>
  <c r="C45" i="1"/>
  <c r="C43" i="1"/>
  <c r="C42" i="1"/>
  <c r="C41" i="1"/>
  <c r="C39" i="1"/>
  <c r="C37" i="1"/>
  <c r="C36" i="1"/>
  <c r="C34" i="1"/>
  <c r="C33" i="1"/>
  <c r="C32" i="1"/>
  <c r="C31" i="1"/>
  <c r="C29" i="1"/>
  <c r="C28" i="1"/>
  <c r="C27" i="1"/>
  <c r="C26" i="1"/>
  <c r="C25" i="1"/>
  <c r="C24" i="1"/>
  <c r="C23" i="1"/>
  <c r="C22" i="1"/>
  <c r="C21" i="1"/>
  <c r="C20" i="1"/>
  <c r="C19" i="1"/>
  <c r="C18" i="1"/>
  <c r="C15" i="1"/>
  <c r="C14" i="1"/>
  <c r="C13" i="1"/>
  <c r="C12" i="1"/>
  <c r="C11" i="1"/>
  <c r="C10" i="1"/>
  <c r="C9" i="1"/>
  <c r="C8" i="1"/>
  <c r="C7" i="1"/>
  <c r="C5" i="1"/>
  <c r="C4" i="1"/>
  <c r="C3" i="1"/>
  <c r="C2" i="1"/>
</calcChain>
</file>

<file path=xl/sharedStrings.xml><?xml version="1.0" encoding="utf-8"?>
<sst xmlns="http://schemas.openxmlformats.org/spreadsheetml/2006/main" count="38" uniqueCount="38">
  <si>
    <t>Tinggi Badan</t>
  </si>
  <si>
    <t>Berat Badan</t>
  </si>
  <si>
    <t>BMI</t>
  </si>
  <si>
    <t xml:space="preserve">Keparahan Infeksi </t>
  </si>
  <si>
    <t>Hb</t>
  </si>
  <si>
    <t>Leukosit</t>
  </si>
  <si>
    <t>Trombosit</t>
  </si>
  <si>
    <t>Neutrofil (%)</t>
  </si>
  <si>
    <t>Limfosit (%)</t>
  </si>
  <si>
    <t>NLR</t>
  </si>
  <si>
    <t>PT</t>
  </si>
  <si>
    <t>INR</t>
  </si>
  <si>
    <t>aPTT</t>
  </si>
  <si>
    <t>Fibrinogen</t>
  </si>
  <si>
    <t>D-dimer</t>
  </si>
  <si>
    <t>Ureum</t>
  </si>
  <si>
    <t>Kreatinin</t>
  </si>
  <si>
    <t>eGFR</t>
  </si>
  <si>
    <t>SGOT</t>
  </si>
  <si>
    <t>SGPT</t>
  </si>
  <si>
    <t>Glukosa</t>
  </si>
  <si>
    <t>LDH</t>
  </si>
  <si>
    <t>CRP</t>
  </si>
  <si>
    <t>Ferritin</t>
  </si>
  <si>
    <t>Procalcitonin</t>
  </si>
  <si>
    <t>HbA1c</t>
  </si>
  <si>
    <t xml:space="preserve">IL-8 </t>
  </si>
  <si>
    <t>IL 17</t>
  </si>
  <si>
    <t>MCP-1</t>
  </si>
  <si>
    <t>IL1B</t>
  </si>
  <si>
    <t>TNF α</t>
  </si>
  <si>
    <t>IP-10</t>
  </si>
  <si>
    <t xml:space="preserve">IL-10 </t>
  </si>
  <si>
    <t>IL-4</t>
  </si>
  <si>
    <t>IL-6</t>
  </si>
  <si>
    <t>IFN ϒ</t>
  </si>
  <si>
    <t>Mortalitas</t>
  </si>
  <si>
    <t>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</si>
</sst>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8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0"/>
      <color rgb="FF000000"/>
      <name val="Arial"/>
    </font>
    <font>
      <sz val="10"/>
      <color theme="1"/>
      <name val="Arial"/>
    </font>
    <font>
      <sz val="11"/>
      <color rgb="FF000000"/>
      <name val="Calibri"/>
    </font>
    <font>
      <sz val="10"/>
      <color theme="4"/>
      <name val="Arial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shrinkToFit="1"/>
    </xf>
    <xf numFmtId="4" fontId="2" fillId="0" borderId="2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4" fontId="2" fillId="0" borderId="3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999"/>
  <sheetViews>
    <sheetView tabSelected="1" topLeftCell="AA1" workbookViewId="0">
      <pane ySplit="1" topLeftCell="A2" activePane="bottomLeft" state="frozen"/>
      <selection pane="bottomLeft" activeCell="AM4" sqref="AM4"/>
    </sheetView>
  </sheetViews>
  <sheetFormatPr defaultColWidth="14.453125" defaultRowHeight="15" customHeight="1" x14ac:dyDescent="0.35"/>
  <cols>
    <col min="1" max="1" width="9.54296875" customWidth="1"/>
    <col min="2" max="2" width="9.08984375" customWidth="1"/>
    <col min="3" max="3" width="7.08984375" customWidth="1"/>
    <col min="4" max="4" width="34.54296875" customWidth="1"/>
    <col min="5" max="5" width="8.81640625" customWidth="1"/>
    <col min="6" max="6" width="11.54296875" customWidth="1"/>
    <col min="7" max="7" width="12.54296875" customWidth="1"/>
    <col min="8" max="8" width="13.08984375" customWidth="1"/>
    <col min="9" max="9" width="12.453125" customWidth="1"/>
    <col min="10" max="10" width="13.08984375" customWidth="1"/>
    <col min="11" max="11" width="5.81640625" customWidth="1"/>
    <col min="12" max="12" width="5.54296875" customWidth="1"/>
    <col min="13" max="13" width="7.81640625" customWidth="1"/>
    <col min="14" max="14" width="16.54296875" customWidth="1"/>
    <col min="15" max="15" width="10.54296875" customWidth="1"/>
    <col min="16" max="16" width="8.81640625" customWidth="1"/>
    <col min="17" max="17" width="12.54296875" customWidth="1"/>
    <col min="18" max="20" width="8.81640625" customWidth="1"/>
    <col min="21" max="21" width="10.54296875" customWidth="1"/>
    <col min="22" max="23" width="8.81640625" customWidth="1"/>
    <col min="24" max="24" width="10.81640625" customWidth="1"/>
    <col min="25" max="25" width="17.08984375" customWidth="1"/>
    <col min="26" max="26" width="8.81640625" customWidth="1"/>
    <col min="27" max="27" width="13.54296875" customWidth="1"/>
    <col min="28" max="28" width="12.54296875" customWidth="1"/>
    <col min="29" max="34" width="8.81640625" customWidth="1"/>
    <col min="35" max="35" width="8.7265625" customWidth="1"/>
    <col min="36" max="36" width="3.81640625" bestFit="1" customWidth="1"/>
    <col min="37" max="37" width="8.7265625" customWidth="1"/>
    <col min="38" max="38" width="21.54296875" customWidth="1"/>
  </cols>
  <sheetData>
    <row r="1" spans="1:38" ht="14.25" customHeight="1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3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3" t="s">
        <v>34</v>
      </c>
      <c r="AJ1" s="1" t="s">
        <v>37</v>
      </c>
      <c r="AK1" s="1" t="s">
        <v>35</v>
      </c>
      <c r="AL1" s="1" t="s">
        <v>36</v>
      </c>
    </row>
    <row r="2" spans="1:38" ht="14.25" customHeight="1" x14ac:dyDescent="0.35">
      <c r="A2" s="5">
        <v>170</v>
      </c>
      <c r="B2" s="5">
        <v>65</v>
      </c>
      <c r="C2" s="6">
        <f>(B2/(A2/100)^2)</f>
        <v>22.491349480968861</v>
      </c>
      <c r="D2" s="4">
        <v>2</v>
      </c>
      <c r="E2" s="4">
        <v>14.7</v>
      </c>
      <c r="F2" s="4">
        <v>9750</v>
      </c>
      <c r="G2" s="4">
        <v>261000</v>
      </c>
      <c r="H2" s="4">
        <v>84.4</v>
      </c>
      <c r="I2" s="4">
        <v>13.2</v>
      </c>
      <c r="J2" s="4">
        <v>6.39</v>
      </c>
      <c r="K2" s="7">
        <v>10.3</v>
      </c>
      <c r="L2" s="7">
        <v>0.99</v>
      </c>
      <c r="M2" s="7">
        <v>35.299999999999997</v>
      </c>
      <c r="N2" s="7">
        <v>346.8</v>
      </c>
      <c r="O2" s="7">
        <v>53.19</v>
      </c>
      <c r="P2" s="8">
        <v>39.9</v>
      </c>
      <c r="Q2" s="7">
        <v>1.68</v>
      </c>
      <c r="R2" s="9">
        <v>40.54</v>
      </c>
      <c r="S2" s="4">
        <v>62</v>
      </c>
      <c r="T2" s="4">
        <v>30</v>
      </c>
      <c r="U2" s="4">
        <v>239</v>
      </c>
      <c r="V2" s="4">
        <v>678</v>
      </c>
      <c r="W2" s="4">
        <v>27.23</v>
      </c>
      <c r="X2" s="4">
        <v>1495</v>
      </c>
      <c r="Y2" s="10">
        <v>0.45</v>
      </c>
      <c r="Z2" s="4">
        <v>14.9</v>
      </c>
      <c r="AA2" s="11">
        <v>106.99</v>
      </c>
      <c r="AB2" s="4">
        <v>13.27</v>
      </c>
      <c r="AC2" s="4">
        <v>177.3</v>
      </c>
      <c r="AD2" s="4">
        <v>1317.0057621872825</v>
      </c>
      <c r="AE2" s="6">
        <v>106.47947389251594</v>
      </c>
      <c r="AF2" s="4">
        <v>1291.5899999999999</v>
      </c>
      <c r="AG2" s="4">
        <v>9.57</v>
      </c>
      <c r="AH2" s="4">
        <v>237.96</v>
      </c>
      <c r="AI2" s="10"/>
      <c r="AJ2" s="4">
        <v>1</v>
      </c>
      <c r="AK2" s="6">
        <v>18.153661401379832</v>
      </c>
      <c r="AL2" s="4">
        <v>1</v>
      </c>
    </row>
    <row r="3" spans="1:38" ht="14.25" customHeight="1" x14ac:dyDescent="0.35">
      <c r="A3" s="5">
        <v>150</v>
      </c>
      <c r="B3" s="5">
        <v>45</v>
      </c>
      <c r="C3" s="6">
        <f>(B3/(A3/100)^2)</f>
        <v>20</v>
      </c>
      <c r="D3" s="4">
        <v>4</v>
      </c>
      <c r="E3" s="4">
        <v>8.3000000000000007</v>
      </c>
      <c r="F3" s="4">
        <v>14070</v>
      </c>
      <c r="G3" s="4">
        <v>467000</v>
      </c>
      <c r="H3" s="4">
        <v>90.4</v>
      </c>
      <c r="I3" s="4">
        <v>4.8</v>
      </c>
      <c r="J3" s="4">
        <v>18.8</v>
      </c>
      <c r="K3" s="7">
        <v>10.9</v>
      </c>
      <c r="L3" s="7">
        <v>1.05</v>
      </c>
      <c r="M3" s="7">
        <v>24.6</v>
      </c>
      <c r="N3" s="7">
        <v>396.7</v>
      </c>
      <c r="O3" s="7">
        <v>6.04</v>
      </c>
      <c r="P3" s="8">
        <v>452.7</v>
      </c>
      <c r="Q3" s="7">
        <v>5.04</v>
      </c>
      <c r="R3" s="9">
        <v>8.1850000000000005</v>
      </c>
      <c r="S3" s="4">
        <v>15</v>
      </c>
      <c r="T3" s="4">
        <v>9</v>
      </c>
      <c r="U3" s="4">
        <v>796</v>
      </c>
      <c r="V3" s="4"/>
      <c r="W3" s="4">
        <v>4.34</v>
      </c>
      <c r="X3" s="4"/>
      <c r="Y3" s="10">
        <v>0.82</v>
      </c>
      <c r="Z3" s="4"/>
      <c r="AA3" s="11">
        <v>1236.8900000000001</v>
      </c>
      <c r="AB3" s="4">
        <v>5.62</v>
      </c>
      <c r="AC3" s="4">
        <v>39.04</v>
      </c>
      <c r="AD3" s="4">
        <v>315.90180103147958</v>
      </c>
      <c r="AE3" s="6">
        <v>28.030729723824024</v>
      </c>
      <c r="AF3" s="4">
        <v>625.85</v>
      </c>
      <c r="AG3" s="4">
        <v>2.1800000000000002</v>
      </c>
      <c r="AH3" s="4">
        <v>106.85</v>
      </c>
      <c r="AI3" s="12">
        <v>15.28</v>
      </c>
      <c r="AJ3" s="4">
        <v>1</v>
      </c>
      <c r="AK3" s="6">
        <v>11.659191440508467</v>
      </c>
      <c r="AL3" s="4">
        <v>0</v>
      </c>
    </row>
    <row r="4" spans="1:38" ht="14.25" customHeight="1" x14ac:dyDescent="0.35">
      <c r="A4" s="5">
        <v>155</v>
      </c>
      <c r="B4" s="5">
        <v>84</v>
      </c>
      <c r="C4" s="6">
        <f>(B4/(A4/100)^2)</f>
        <v>34.963579604578563</v>
      </c>
      <c r="D4" s="4">
        <v>4</v>
      </c>
      <c r="E4" s="4">
        <v>14.4</v>
      </c>
      <c r="F4" s="4">
        <v>9780</v>
      </c>
      <c r="G4" s="4">
        <v>185000</v>
      </c>
      <c r="H4" s="4">
        <v>78.599999999999994</v>
      </c>
      <c r="I4" s="4">
        <v>16.3</v>
      </c>
      <c r="J4" s="4">
        <v>4.82</v>
      </c>
      <c r="K4" s="7">
        <v>10</v>
      </c>
      <c r="L4" s="7">
        <v>0.96</v>
      </c>
      <c r="M4" s="7">
        <v>30.9</v>
      </c>
      <c r="N4" s="7">
        <v>414.7</v>
      </c>
      <c r="O4" s="7">
        <v>1.19</v>
      </c>
      <c r="P4" s="8">
        <v>49.1</v>
      </c>
      <c r="Q4" s="7">
        <v>1.51</v>
      </c>
      <c r="R4" s="9">
        <v>42</v>
      </c>
      <c r="S4" s="4">
        <v>39</v>
      </c>
      <c r="T4" s="4">
        <v>25</v>
      </c>
      <c r="U4" s="4">
        <v>384</v>
      </c>
      <c r="V4" s="4">
        <v>1015</v>
      </c>
      <c r="W4" s="4">
        <v>7.15</v>
      </c>
      <c r="X4" s="4">
        <v>1021</v>
      </c>
      <c r="Y4" s="10">
        <v>0.34</v>
      </c>
      <c r="Z4" s="4">
        <v>8.1</v>
      </c>
      <c r="AA4" s="11">
        <v>101.77</v>
      </c>
      <c r="AB4" s="4">
        <v>10.65</v>
      </c>
      <c r="AC4" s="4">
        <v>121.37</v>
      </c>
      <c r="AD4" s="4">
        <v>3645.0206817631433</v>
      </c>
      <c r="AE4" s="6">
        <v>183.24222097720812</v>
      </c>
      <c r="AF4" s="4">
        <v>9291.44</v>
      </c>
      <c r="AG4" s="4">
        <v>8.56</v>
      </c>
      <c r="AH4" s="4">
        <v>1334.83</v>
      </c>
      <c r="AI4" s="10"/>
      <c r="AJ4" s="4">
        <v>1</v>
      </c>
      <c r="AK4" s="6">
        <v>13.643587915668732</v>
      </c>
      <c r="AL4" s="4">
        <v>1</v>
      </c>
    </row>
    <row r="5" spans="1:38" ht="14.25" customHeight="1" x14ac:dyDescent="0.35">
      <c r="A5" s="5">
        <v>160</v>
      </c>
      <c r="B5" s="5">
        <v>100</v>
      </c>
      <c r="C5" s="6">
        <f>(B5/(A5/100)^2)</f>
        <v>39.062499999999993</v>
      </c>
      <c r="D5" s="4">
        <v>3</v>
      </c>
      <c r="E5" s="4">
        <v>14.1</v>
      </c>
      <c r="F5" s="4">
        <v>5810</v>
      </c>
      <c r="G5" s="4">
        <v>355000</v>
      </c>
      <c r="H5" s="4">
        <v>79.099999999999994</v>
      </c>
      <c r="I5" s="4">
        <v>15</v>
      </c>
      <c r="J5" s="4">
        <v>5.29</v>
      </c>
      <c r="K5" s="7">
        <v>10.1</v>
      </c>
      <c r="L5" s="7">
        <v>0.97</v>
      </c>
      <c r="M5" s="7">
        <v>24.4</v>
      </c>
      <c r="N5" s="7">
        <v>476.2</v>
      </c>
      <c r="O5" s="7">
        <v>1.4</v>
      </c>
      <c r="P5" s="8">
        <v>41.9</v>
      </c>
      <c r="Q5" s="7">
        <v>0.86</v>
      </c>
      <c r="R5" s="9">
        <v>80.444999999999993</v>
      </c>
      <c r="S5" s="4">
        <v>27</v>
      </c>
      <c r="T5" s="4">
        <v>23</v>
      </c>
      <c r="U5" s="4">
        <v>299</v>
      </c>
      <c r="V5" s="4">
        <v>737</v>
      </c>
      <c r="W5" s="4">
        <v>0.81</v>
      </c>
      <c r="X5" s="4">
        <v>1544</v>
      </c>
      <c r="Y5" s="10">
        <v>0.09</v>
      </c>
      <c r="Z5" s="4">
        <v>9.6</v>
      </c>
      <c r="AA5" s="11">
        <v>34.520000000000003</v>
      </c>
      <c r="AB5" s="4">
        <v>8.18</v>
      </c>
      <c r="AC5" s="4">
        <v>3.14</v>
      </c>
      <c r="AD5" s="4">
        <v>532.10810792434404</v>
      </c>
      <c r="AE5" s="6">
        <v>35.504280383929796</v>
      </c>
      <c r="AF5" s="4">
        <v>791.84</v>
      </c>
      <c r="AG5" s="4">
        <v>2.14</v>
      </c>
      <c r="AH5" s="4">
        <v>134.66999999999999</v>
      </c>
      <c r="AI5" s="10"/>
      <c r="AJ5" s="4">
        <v>1</v>
      </c>
      <c r="AK5" s="6">
        <v>13.980616665820374</v>
      </c>
      <c r="AL5" s="4">
        <v>0</v>
      </c>
    </row>
    <row r="6" spans="1:38" ht="14.25" customHeight="1" x14ac:dyDescent="0.35">
      <c r="A6" s="5"/>
      <c r="B6" s="5"/>
      <c r="C6" s="6"/>
      <c r="D6" s="4">
        <v>4</v>
      </c>
      <c r="E6" s="4">
        <v>14.1</v>
      </c>
      <c r="F6" s="4">
        <v>14710</v>
      </c>
      <c r="G6" s="4">
        <v>160000</v>
      </c>
      <c r="H6" s="4">
        <v>87.8</v>
      </c>
      <c r="I6" s="4">
        <v>7.3</v>
      </c>
      <c r="J6" s="4">
        <v>12.02</v>
      </c>
      <c r="K6" s="7">
        <v>11.4</v>
      </c>
      <c r="L6" s="7">
        <v>1.1000000000000001</v>
      </c>
      <c r="M6" s="7">
        <v>34.1</v>
      </c>
      <c r="N6" s="7">
        <v>543.6</v>
      </c>
      <c r="O6" s="7">
        <v>0.96</v>
      </c>
      <c r="P6" s="8">
        <v>34.700000000000003</v>
      </c>
      <c r="Q6" s="7">
        <v>1.27</v>
      </c>
      <c r="R6" s="9">
        <v>61.433999999999997</v>
      </c>
      <c r="S6" s="4">
        <v>71</v>
      </c>
      <c r="T6" s="4">
        <v>42</v>
      </c>
      <c r="U6" s="4">
        <v>137</v>
      </c>
      <c r="V6" s="4">
        <v>886</v>
      </c>
      <c r="W6" s="4">
        <v>22.34</v>
      </c>
      <c r="X6" s="4">
        <v>1776</v>
      </c>
      <c r="Y6" s="10">
        <v>0.97</v>
      </c>
      <c r="Z6" s="4">
        <v>6.4</v>
      </c>
      <c r="AA6" s="11">
        <v>373.69</v>
      </c>
      <c r="AB6" s="4">
        <v>5.7</v>
      </c>
      <c r="AC6" s="4">
        <v>218.23</v>
      </c>
      <c r="AD6" s="4">
        <v>608.07860546116456</v>
      </c>
      <c r="AE6" s="6">
        <v>38.680215670904445</v>
      </c>
      <c r="AF6" s="4"/>
      <c r="AG6" s="4"/>
      <c r="AH6" s="4"/>
      <c r="AI6" s="12">
        <v>1.5</v>
      </c>
      <c r="AJ6" s="4">
        <v>0</v>
      </c>
      <c r="AK6" s="6">
        <v>12.477977151827828</v>
      </c>
      <c r="AL6" s="4">
        <v>1</v>
      </c>
    </row>
    <row r="7" spans="1:38" ht="14.25" customHeight="1" x14ac:dyDescent="0.35">
      <c r="A7" s="5">
        <v>165</v>
      </c>
      <c r="B7" s="5">
        <v>60</v>
      </c>
      <c r="C7" s="6">
        <f t="shared" ref="C7:C15" si="0">(B7/(A7/100)^2)</f>
        <v>22.03856749311295</v>
      </c>
      <c r="D7" s="4">
        <v>4</v>
      </c>
      <c r="E7" s="4">
        <v>13.7</v>
      </c>
      <c r="F7" s="4">
        <v>16900</v>
      </c>
      <c r="G7" s="4">
        <v>220000</v>
      </c>
      <c r="H7" s="4">
        <v>87.3</v>
      </c>
      <c r="I7" s="4">
        <v>6.8</v>
      </c>
      <c r="J7" s="4">
        <v>12.83</v>
      </c>
      <c r="K7" s="7">
        <v>11.3</v>
      </c>
      <c r="L7" s="7">
        <v>1.0900000000000001</v>
      </c>
      <c r="M7" s="7">
        <v>26.1</v>
      </c>
      <c r="N7" s="7">
        <v>502</v>
      </c>
      <c r="O7" s="7">
        <v>66.39</v>
      </c>
      <c r="P7" s="8">
        <v>30.79</v>
      </c>
      <c r="Q7" s="7">
        <v>0.78</v>
      </c>
      <c r="R7" s="9">
        <v>98.111000000000004</v>
      </c>
      <c r="S7" s="4">
        <v>63</v>
      </c>
      <c r="T7" s="4">
        <v>29</v>
      </c>
      <c r="U7" s="4">
        <v>218</v>
      </c>
      <c r="V7" s="4">
        <v>604</v>
      </c>
      <c r="W7" s="4">
        <v>22.65</v>
      </c>
      <c r="X7" s="4">
        <v>1427</v>
      </c>
      <c r="Y7" s="10">
        <v>11.03</v>
      </c>
      <c r="Z7" s="4">
        <v>7.5</v>
      </c>
      <c r="AA7" s="11">
        <v>1148.27</v>
      </c>
      <c r="AB7" s="4">
        <v>4.5</v>
      </c>
      <c r="AC7" s="4">
        <v>81.5</v>
      </c>
      <c r="AD7" s="4">
        <v>688.45547862339413</v>
      </c>
      <c r="AE7" s="6">
        <v>30.146495072849131</v>
      </c>
      <c r="AF7" s="4">
        <v>405.66</v>
      </c>
      <c r="AG7" s="4">
        <v>1.47</v>
      </c>
      <c r="AH7" s="4">
        <v>98.58</v>
      </c>
      <c r="AI7" s="10"/>
      <c r="AJ7" s="4">
        <v>1</v>
      </c>
      <c r="AK7" s="6">
        <v>11.659191440508467</v>
      </c>
      <c r="AL7" s="4">
        <v>0</v>
      </c>
    </row>
    <row r="8" spans="1:38" ht="14.25" customHeight="1" x14ac:dyDescent="0.35">
      <c r="A8" s="5">
        <v>165</v>
      </c>
      <c r="B8" s="5">
        <v>60</v>
      </c>
      <c r="C8" s="6">
        <f t="shared" si="0"/>
        <v>22.03856749311295</v>
      </c>
      <c r="D8" s="4">
        <v>3</v>
      </c>
      <c r="E8" s="4">
        <v>14.51</v>
      </c>
      <c r="F8" s="4">
        <v>13750</v>
      </c>
      <c r="G8" s="4">
        <v>409000</v>
      </c>
      <c r="H8" s="4">
        <v>91.6</v>
      </c>
      <c r="I8" s="4">
        <v>4.2</v>
      </c>
      <c r="J8" s="4">
        <v>21.71</v>
      </c>
      <c r="K8" s="7">
        <v>11.1</v>
      </c>
      <c r="L8" s="7">
        <v>1.07</v>
      </c>
      <c r="M8" s="7">
        <v>29.6</v>
      </c>
      <c r="N8" s="7">
        <v>405.9</v>
      </c>
      <c r="O8" s="7">
        <v>3.02</v>
      </c>
      <c r="P8" s="8">
        <v>19.100000000000001</v>
      </c>
      <c r="Q8" s="7">
        <v>0.76</v>
      </c>
      <c r="R8" s="9">
        <v>102.79</v>
      </c>
      <c r="S8" s="4">
        <v>51</v>
      </c>
      <c r="T8" s="4">
        <v>35</v>
      </c>
      <c r="U8" s="4">
        <v>99</v>
      </c>
      <c r="V8" s="4">
        <v>880</v>
      </c>
      <c r="W8" s="4">
        <v>15.05</v>
      </c>
      <c r="X8" s="4">
        <v>1306</v>
      </c>
      <c r="Y8" s="10">
        <v>0.74</v>
      </c>
      <c r="Z8" s="4"/>
      <c r="AA8" s="11">
        <v>81.92</v>
      </c>
      <c r="AB8" s="4">
        <v>5.62</v>
      </c>
      <c r="AC8" s="4">
        <v>139.78</v>
      </c>
      <c r="AD8" s="4">
        <v>1027.4374732639633</v>
      </c>
      <c r="AE8" s="6">
        <v>93.185237638461103</v>
      </c>
      <c r="AF8" s="4"/>
      <c r="AG8" s="4"/>
      <c r="AH8" s="4"/>
      <c r="AI8" s="10"/>
      <c r="AJ8" s="4">
        <v>0</v>
      </c>
      <c r="AK8" s="6">
        <v>25.574043337630705</v>
      </c>
      <c r="AL8" s="4">
        <v>0</v>
      </c>
    </row>
    <row r="9" spans="1:38" ht="14.25" customHeight="1" x14ac:dyDescent="0.35">
      <c r="A9" s="5">
        <v>155</v>
      </c>
      <c r="B9" s="5">
        <v>90</v>
      </c>
      <c r="C9" s="6">
        <f t="shared" si="0"/>
        <v>37.460978147762745</v>
      </c>
      <c r="D9" s="4">
        <v>4</v>
      </c>
      <c r="E9" s="4">
        <v>12.2</v>
      </c>
      <c r="F9" s="4">
        <v>6330</v>
      </c>
      <c r="G9" s="4">
        <v>271000</v>
      </c>
      <c r="H9" s="4">
        <v>87.3</v>
      </c>
      <c r="I9" s="4">
        <v>4.9000000000000004</v>
      </c>
      <c r="J9" s="4">
        <v>17.84</v>
      </c>
      <c r="K9" s="7">
        <v>10.5</v>
      </c>
      <c r="L9" s="7">
        <v>1.01</v>
      </c>
      <c r="M9" s="7">
        <v>25.3</v>
      </c>
      <c r="N9" s="7"/>
      <c r="O9" s="7">
        <v>5.07</v>
      </c>
      <c r="P9" s="8">
        <v>106.1</v>
      </c>
      <c r="Q9" s="7">
        <v>0.96</v>
      </c>
      <c r="R9" s="7">
        <v>57.04</v>
      </c>
      <c r="S9" s="4">
        <v>16</v>
      </c>
      <c r="T9" s="4">
        <v>10</v>
      </c>
      <c r="U9" s="4">
        <v>236</v>
      </c>
      <c r="V9" s="4">
        <v>808</v>
      </c>
      <c r="W9" s="4">
        <v>19.12</v>
      </c>
      <c r="X9" s="4">
        <v>526.5</v>
      </c>
      <c r="Y9" s="10">
        <v>0.74</v>
      </c>
      <c r="Z9" s="4">
        <v>7.3</v>
      </c>
      <c r="AA9" s="11">
        <v>76.27</v>
      </c>
      <c r="AB9" s="4">
        <v>4.6500000000000004</v>
      </c>
      <c r="AC9" s="4">
        <v>77.61</v>
      </c>
      <c r="AD9" s="4">
        <v>372.38397474440302</v>
      </c>
      <c r="AE9" s="6">
        <v>0.82717951564043513</v>
      </c>
      <c r="AF9" s="4">
        <v>43.42</v>
      </c>
      <c r="AG9" s="4">
        <v>1.49</v>
      </c>
      <c r="AH9" s="4">
        <v>111.91</v>
      </c>
      <c r="AI9" s="10"/>
      <c r="AJ9" s="4">
        <v>1</v>
      </c>
      <c r="AK9" s="6">
        <v>41.392620333767503</v>
      </c>
      <c r="AL9" s="4">
        <v>1</v>
      </c>
    </row>
    <row r="10" spans="1:38" ht="14.25" customHeight="1" x14ac:dyDescent="0.35">
      <c r="A10" s="5">
        <v>158</v>
      </c>
      <c r="B10" s="5">
        <v>57</v>
      </c>
      <c r="C10" s="6">
        <f t="shared" si="0"/>
        <v>22.832879346258608</v>
      </c>
      <c r="D10" s="4">
        <v>3</v>
      </c>
      <c r="E10" s="4">
        <v>15.2</v>
      </c>
      <c r="F10" s="4">
        <v>13370</v>
      </c>
      <c r="G10" s="4">
        <v>377000</v>
      </c>
      <c r="H10" s="4">
        <v>85.7</v>
      </c>
      <c r="I10" s="4">
        <v>5.4</v>
      </c>
      <c r="J10" s="4">
        <v>15.8</v>
      </c>
      <c r="K10" s="7">
        <v>11</v>
      </c>
      <c r="L10" s="7">
        <v>1.06</v>
      </c>
      <c r="M10" s="7">
        <v>25.1</v>
      </c>
      <c r="N10" s="13">
        <v>275.3</v>
      </c>
      <c r="O10" s="7">
        <v>6.06</v>
      </c>
      <c r="P10" s="8">
        <v>80.8</v>
      </c>
      <c r="Q10" s="7">
        <v>1.74</v>
      </c>
      <c r="R10" s="7">
        <v>39.689</v>
      </c>
      <c r="S10" s="4">
        <v>17</v>
      </c>
      <c r="T10" s="4">
        <v>17</v>
      </c>
      <c r="U10" s="4">
        <v>141</v>
      </c>
      <c r="V10" s="4">
        <v>493</v>
      </c>
      <c r="W10" s="4">
        <v>1.22</v>
      </c>
      <c r="X10" s="4">
        <v>628.6</v>
      </c>
      <c r="Y10" s="10">
        <v>0.09</v>
      </c>
      <c r="Z10" s="4">
        <v>12.8</v>
      </c>
      <c r="AA10" s="11">
        <v>57.55</v>
      </c>
      <c r="AB10" s="4">
        <v>5.77</v>
      </c>
      <c r="AC10" s="4">
        <v>50.09</v>
      </c>
      <c r="AD10" s="4">
        <v>573.25725341267662</v>
      </c>
      <c r="AE10" s="6">
        <v>31.232520949856291</v>
      </c>
      <c r="AF10" s="4">
        <v>651.27</v>
      </c>
      <c r="AG10" s="4">
        <v>3.44</v>
      </c>
      <c r="AH10" s="4">
        <v>109.65</v>
      </c>
      <c r="AI10" s="12">
        <v>35.19</v>
      </c>
      <c r="AJ10" s="4">
        <v>1</v>
      </c>
      <c r="AK10" s="6">
        <v>12.80875024835855</v>
      </c>
      <c r="AL10" s="4">
        <v>0</v>
      </c>
    </row>
    <row r="11" spans="1:38" ht="14.25" customHeight="1" x14ac:dyDescent="0.35">
      <c r="A11" s="5">
        <v>155</v>
      </c>
      <c r="B11" s="5">
        <v>65</v>
      </c>
      <c r="C11" s="6">
        <f t="shared" si="0"/>
        <v>27.055150884495315</v>
      </c>
      <c r="D11" s="4">
        <v>4</v>
      </c>
      <c r="E11" s="4">
        <v>14</v>
      </c>
      <c r="F11" s="4">
        <v>22730</v>
      </c>
      <c r="G11" s="4">
        <v>165000</v>
      </c>
      <c r="H11" s="4">
        <v>87</v>
      </c>
      <c r="I11" s="4">
        <v>7</v>
      </c>
      <c r="J11" s="4">
        <v>12.53</v>
      </c>
      <c r="K11" s="7">
        <v>11.1</v>
      </c>
      <c r="L11" s="7">
        <v>1.07</v>
      </c>
      <c r="M11" s="7">
        <v>19.3</v>
      </c>
      <c r="N11" s="13">
        <v>434</v>
      </c>
      <c r="O11" s="7">
        <v>35.130000000000003</v>
      </c>
      <c r="P11" s="8">
        <v>48.6</v>
      </c>
      <c r="Q11" s="7">
        <v>0.68</v>
      </c>
      <c r="R11" s="7">
        <v>92.44</v>
      </c>
      <c r="S11" s="4">
        <v>33</v>
      </c>
      <c r="T11" s="4">
        <v>54</v>
      </c>
      <c r="U11" s="4">
        <v>196</v>
      </c>
      <c r="V11" s="4">
        <v>936</v>
      </c>
      <c r="W11" s="4">
        <v>1.0900000000000001</v>
      </c>
      <c r="X11" s="4">
        <v>1377</v>
      </c>
      <c r="Y11" s="10">
        <v>7.0000000000000007E-2</v>
      </c>
      <c r="Z11" s="4"/>
      <c r="AA11" s="11">
        <v>328.81</v>
      </c>
      <c r="AB11" s="4">
        <v>23.48</v>
      </c>
      <c r="AC11" s="4">
        <v>6.09</v>
      </c>
      <c r="AD11" s="4">
        <v>123.7329220090113</v>
      </c>
      <c r="AE11" s="6">
        <v>0.43315366107643211</v>
      </c>
      <c r="AF11" s="4">
        <v>381.46</v>
      </c>
      <c r="AG11" s="4">
        <v>3.13</v>
      </c>
      <c r="AH11" s="4">
        <v>5.97</v>
      </c>
      <c r="AI11" s="12">
        <v>16.39</v>
      </c>
      <c r="AJ11" s="4">
        <v>0</v>
      </c>
      <c r="AK11" s="6">
        <v>8.2065285699032486</v>
      </c>
      <c r="AL11" s="4">
        <v>0</v>
      </c>
    </row>
    <row r="12" spans="1:38" ht="14.25" customHeight="1" x14ac:dyDescent="0.35">
      <c r="A12" s="5">
        <v>155</v>
      </c>
      <c r="B12" s="5">
        <v>68</v>
      </c>
      <c r="C12" s="6">
        <f t="shared" si="0"/>
        <v>28.303850156087407</v>
      </c>
      <c r="D12" s="4">
        <v>3</v>
      </c>
      <c r="E12" s="4">
        <v>13.7</v>
      </c>
      <c r="F12" s="4">
        <v>14530</v>
      </c>
      <c r="G12" s="4">
        <v>275000</v>
      </c>
      <c r="H12" s="4">
        <v>86.7</v>
      </c>
      <c r="I12" s="4">
        <v>7.9</v>
      </c>
      <c r="J12" s="4">
        <v>10.16</v>
      </c>
      <c r="K12" s="7">
        <v>12.6</v>
      </c>
      <c r="L12" s="7">
        <v>1.23</v>
      </c>
      <c r="M12" s="7">
        <v>20.9</v>
      </c>
      <c r="N12" s="7"/>
      <c r="O12" s="7">
        <v>35.200000000000003</v>
      </c>
      <c r="P12" s="8">
        <v>55.5</v>
      </c>
      <c r="Q12" s="7">
        <v>0.89</v>
      </c>
      <c r="R12" s="7">
        <v>74.513999999999996</v>
      </c>
      <c r="S12" s="4">
        <v>34</v>
      </c>
      <c r="T12" s="4">
        <v>41</v>
      </c>
      <c r="U12" s="4">
        <v>367</v>
      </c>
      <c r="V12" s="4">
        <v>1120</v>
      </c>
      <c r="W12" s="4">
        <v>0.5</v>
      </c>
      <c r="X12" s="4">
        <v>973.9</v>
      </c>
      <c r="Y12" s="10">
        <v>0.16</v>
      </c>
      <c r="Z12" s="4">
        <v>12.2</v>
      </c>
      <c r="AA12" s="11">
        <v>115.53</v>
      </c>
      <c r="AB12" s="4">
        <v>8.84</v>
      </c>
      <c r="AC12" s="4">
        <v>4.1399999999999997</v>
      </c>
      <c r="AD12" s="4">
        <v>122.58619325789363</v>
      </c>
      <c r="AE12" s="6">
        <v>18.771595210321578</v>
      </c>
      <c r="AF12" s="4">
        <v>504.61</v>
      </c>
      <c r="AG12" s="4">
        <v>3.47</v>
      </c>
      <c r="AH12" s="4">
        <v>67.709999999999994</v>
      </c>
      <c r="AI12" s="10"/>
      <c r="AJ12" s="4">
        <v>1</v>
      </c>
      <c r="AK12" s="6">
        <v>14.149781510008776</v>
      </c>
      <c r="AL12" s="4">
        <v>0</v>
      </c>
    </row>
    <row r="13" spans="1:38" ht="14.25" customHeight="1" x14ac:dyDescent="0.35">
      <c r="A13" s="5">
        <v>170</v>
      </c>
      <c r="B13" s="5">
        <v>75</v>
      </c>
      <c r="C13" s="6">
        <f t="shared" si="0"/>
        <v>25.95155709342561</v>
      </c>
      <c r="D13" s="4">
        <v>4</v>
      </c>
      <c r="E13" s="4">
        <v>14</v>
      </c>
      <c r="F13" s="4">
        <v>8050</v>
      </c>
      <c r="G13" s="4">
        <v>302000</v>
      </c>
      <c r="H13" s="4">
        <v>85.8</v>
      </c>
      <c r="I13" s="4">
        <v>9.1</v>
      </c>
      <c r="J13" s="4">
        <v>9.4700000000000006</v>
      </c>
      <c r="K13" s="7">
        <v>11.2</v>
      </c>
      <c r="L13" s="7">
        <v>1.08</v>
      </c>
      <c r="M13" s="7">
        <v>19</v>
      </c>
      <c r="N13" s="7"/>
      <c r="O13" s="7">
        <v>1.27</v>
      </c>
      <c r="P13" s="8">
        <v>40.4</v>
      </c>
      <c r="Q13" s="7">
        <v>0.89</v>
      </c>
      <c r="R13" s="7">
        <v>87.239000000000004</v>
      </c>
      <c r="S13" s="4">
        <v>60</v>
      </c>
      <c r="T13" s="4">
        <v>41</v>
      </c>
      <c r="U13" s="4">
        <v>101</v>
      </c>
      <c r="V13" s="4">
        <v>978</v>
      </c>
      <c r="W13" s="4">
        <v>15.87</v>
      </c>
      <c r="X13" s="4">
        <v>1246</v>
      </c>
      <c r="Y13" s="10">
        <v>0.33</v>
      </c>
      <c r="Z13" s="4"/>
      <c r="AA13" s="11">
        <v>138.28</v>
      </c>
      <c r="AB13" s="4">
        <v>5.55</v>
      </c>
      <c r="AC13" s="4">
        <v>52.53</v>
      </c>
      <c r="AD13" s="4">
        <v>358.77001779391043</v>
      </c>
      <c r="AE13" s="6">
        <v>18.771595210321578</v>
      </c>
      <c r="AF13" s="4"/>
      <c r="AG13" s="4"/>
      <c r="AH13" s="4"/>
      <c r="AI13" s="12">
        <v>13.25</v>
      </c>
      <c r="AJ13" s="4">
        <v>0</v>
      </c>
      <c r="AK13" s="6">
        <v>15.518326384210047</v>
      </c>
      <c r="AL13" s="4">
        <v>1</v>
      </c>
    </row>
    <row r="14" spans="1:38" ht="14.25" customHeight="1" x14ac:dyDescent="0.35">
      <c r="A14" s="5">
        <v>160</v>
      </c>
      <c r="B14" s="5">
        <v>80</v>
      </c>
      <c r="C14" s="6">
        <f t="shared" si="0"/>
        <v>31.249999999999993</v>
      </c>
      <c r="D14" s="4">
        <v>3</v>
      </c>
      <c r="E14" s="4">
        <v>12.6</v>
      </c>
      <c r="F14" s="4">
        <v>7030</v>
      </c>
      <c r="G14" s="4">
        <v>208000</v>
      </c>
      <c r="H14" s="4">
        <v>76.7</v>
      </c>
      <c r="I14" s="4">
        <v>18.2</v>
      </c>
      <c r="J14" s="4">
        <v>4.21</v>
      </c>
      <c r="K14" s="7">
        <v>9.9</v>
      </c>
      <c r="L14" s="7">
        <v>0.95</v>
      </c>
      <c r="M14" s="7">
        <v>23.1</v>
      </c>
      <c r="N14" s="7"/>
      <c r="O14" s="7">
        <v>0.72</v>
      </c>
      <c r="P14" s="8">
        <v>20.2</v>
      </c>
      <c r="Q14" s="7">
        <v>0.59</v>
      </c>
      <c r="R14" s="7">
        <v>105.3</v>
      </c>
      <c r="S14" s="4">
        <v>51</v>
      </c>
      <c r="T14" s="4">
        <v>41</v>
      </c>
      <c r="U14" s="4">
        <v>285</v>
      </c>
      <c r="V14" s="4"/>
      <c r="W14" s="4"/>
      <c r="X14" s="4"/>
      <c r="Y14" s="10">
        <v>0.55000000000000004</v>
      </c>
      <c r="Z14" s="4"/>
      <c r="AA14" s="11">
        <v>66.97</v>
      </c>
      <c r="AB14" s="4">
        <v>8.68</v>
      </c>
      <c r="AC14" s="4">
        <v>103.08</v>
      </c>
      <c r="AD14" s="4">
        <v>629.19702594242335</v>
      </c>
      <c r="AE14" s="6">
        <v>8.2282511361101847</v>
      </c>
      <c r="AF14" s="4"/>
      <c r="AG14" s="4"/>
      <c r="AH14" s="4"/>
      <c r="AI14" s="10"/>
      <c r="AJ14" s="4">
        <v>0</v>
      </c>
      <c r="AK14" s="6">
        <v>19.775559221676101</v>
      </c>
      <c r="AL14" s="4">
        <v>1</v>
      </c>
    </row>
    <row r="15" spans="1:38" ht="14.25" customHeight="1" x14ac:dyDescent="0.35">
      <c r="A15" s="5">
        <v>165</v>
      </c>
      <c r="B15" s="5">
        <v>55</v>
      </c>
      <c r="C15" s="6">
        <f t="shared" si="0"/>
        <v>20.202020202020204</v>
      </c>
      <c r="D15" s="4">
        <v>4</v>
      </c>
      <c r="E15" s="4">
        <v>13.7</v>
      </c>
      <c r="F15" s="4">
        <v>20750</v>
      </c>
      <c r="G15" s="4">
        <v>342000</v>
      </c>
      <c r="H15" s="4">
        <v>94.3</v>
      </c>
      <c r="I15" s="4">
        <v>2.5</v>
      </c>
      <c r="J15" s="4">
        <v>37.6</v>
      </c>
      <c r="K15" s="7">
        <v>11.1</v>
      </c>
      <c r="L15" s="7">
        <v>1.07</v>
      </c>
      <c r="M15" s="7">
        <v>22.9</v>
      </c>
      <c r="N15" s="7">
        <v>443.6</v>
      </c>
      <c r="O15" s="7">
        <v>35.200000000000003</v>
      </c>
      <c r="P15" s="8">
        <v>103.4</v>
      </c>
      <c r="Q15" s="7">
        <v>3.22</v>
      </c>
      <c r="R15" s="7">
        <v>22.321000000000002</v>
      </c>
      <c r="S15" s="4">
        <v>66</v>
      </c>
      <c r="T15" s="4">
        <v>80</v>
      </c>
      <c r="U15" s="4">
        <v>105</v>
      </c>
      <c r="V15" s="4">
        <v>1780</v>
      </c>
      <c r="W15" s="4">
        <v>13.97</v>
      </c>
      <c r="X15" s="4">
        <v>1006</v>
      </c>
      <c r="Y15" s="10">
        <v>1.05</v>
      </c>
      <c r="Z15" s="4"/>
      <c r="AA15" s="11">
        <v>231.75</v>
      </c>
      <c r="AB15" s="4">
        <v>9.27</v>
      </c>
      <c r="AC15" s="4">
        <v>77.959999999999994</v>
      </c>
      <c r="AD15" s="4">
        <v>939.00131902809244</v>
      </c>
      <c r="AE15" s="6">
        <v>87.465063517009654</v>
      </c>
      <c r="AF15" s="4">
        <v>475.05</v>
      </c>
      <c r="AG15" s="4">
        <v>3.79</v>
      </c>
      <c r="AH15" s="4">
        <v>106.85</v>
      </c>
      <c r="AI15" s="10"/>
      <c r="AJ15" s="4">
        <v>0</v>
      </c>
      <c r="AK15" s="6">
        <v>12.477977151827828</v>
      </c>
      <c r="AL15" s="4">
        <v>1</v>
      </c>
    </row>
    <row r="16" spans="1:38" ht="14.25" customHeight="1" x14ac:dyDescent="0.35">
      <c r="A16" s="5"/>
      <c r="B16" s="5"/>
      <c r="C16" s="6"/>
      <c r="D16" s="4">
        <v>3</v>
      </c>
      <c r="E16" s="4">
        <v>12.4</v>
      </c>
      <c r="F16" s="4">
        <v>6759</v>
      </c>
      <c r="G16" s="4">
        <v>287000</v>
      </c>
      <c r="H16" s="4">
        <v>79.7</v>
      </c>
      <c r="I16" s="4">
        <v>15.9</v>
      </c>
      <c r="J16" s="4">
        <v>5</v>
      </c>
      <c r="K16" s="7">
        <v>10.9</v>
      </c>
      <c r="L16" s="7">
        <v>1.05</v>
      </c>
      <c r="M16" s="7">
        <v>21.3</v>
      </c>
      <c r="N16" s="7"/>
      <c r="O16" s="7">
        <v>2.23</v>
      </c>
      <c r="P16" s="8">
        <v>23.6</v>
      </c>
      <c r="Q16" s="7">
        <v>0.65</v>
      </c>
      <c r="R16" s="7">
        <v>11.052</v>
      </c>
      <c r="S16" s="4">
        <v>47</v>
      </c>
      <c r="T16" s="4">
        <v>24</v>
      </c>
      <c r="U16" s="4">
        <v>300</v>
      </c>
      <c r="V16" s="4">
        <v>922</v>
      </c>
      <c r="W16" s="4">
        <v>7.98</v>
      </c>
      <c r="X16" s="4">
        <v>497.7</v>
      </c>
      <c r="Y16" s="10">
        <v>0.19</v>
      </c>
      <c r="Z16" s="4">
        <v>9.6999999999999993</v>
      </c>
      <c r="AA16" s="11">
        <v>57.55</v>
      </c>
      <c r="AB16" s="4">
        <v>5.32</v>
      </c>
      <c r="AC16" s="4">
        <v>320.67</v>
      </c>
      <c r="AD16" s="4">
        <v>3035.1048245531933</v>
      </c>
      <c r="AE16" s="6">
        <v>209.18046792408902</v>
      </c>
      <c r="AF16" s="4">
        <v>10112.77</v>
      </c>
      <c r="AG16" s="4">
        <v>1.74</v>
      </c>
      <c r="AH16" s="4">
        <v>1311.31</v>
      </c>
      <c r="AI16" s="10"/>
      <c r="AJ16" s="4">
        <v>1</v>
      </c>
      <c r="AK16" s="6">
        <v>20.139927644124512</v>
      </c>
      <c r="AL16" s="4">
        <v>1</v>
      </c>
    </row>
    <row r="17" spans="1:38" ht="14.25" customHeight="1" x14ac:dyDescent="0.35">
      <c r="A17" s="5"/>
      <c r="B17" s="5"/>
      <c r="C17" s="6"/>
      <c r="D17" s="4">
        <v>3</v>
      </c>
      <c r="E17" s="4">
        <v>2.7</v>
      </c>
      <c r="F17" s="4">
        <v>22740</v>
      </c>
      <c r="G17" s="4">
        <v>148000</v>
      </c>
      <c r="H17" s="4">
        <v>81.599999999999994</v>
      </c>
      <c r="I17" s="4">
        <v>10.5</v>
      </c>
      <c r="J17" s="4">
        <v>7.76</v>
      </c>
      <c r="K17" s="7">
        <v>13.8</v>
      </c>
      <c r="L17" s="7">
        <v>1.36</v>
      </c>
      <c r="M17" s="7">
        <v>25.7</v>
      </c>
      <c r="N17" s="7">
        <v>151.4</v>
      </c>
      <c r="O17" s="7">
        <v>13.84</v>
      </c>
      <c r="P17" s="8">
        <v>41.3</v>
      </c>
      <c r="Q17" s="7">
        <v>0.82</v>
      </c>
      <c r="R17" s="7">
        <v>85.813000000000002</v>
      </c>
      <c r="S17" s="4">
        <v>56</v>
      </c>
      <c r="T17" s="4">
        <v>41</v>
      </c>
      <c r="U17" s="4">
        <v>130</v>
      </c>
      <c r="V17" s="4"/>
      <c r="W17" s="4">
        <v>4.58</v>
      </c>
      <c r="X17" s="4">
        <v>313.39999999999998</v>
      </c>
      <c r="Y17" s="10">
        <v>1.19</v>
      </c>
      <c r="Z17" s="4"/>
      <c r="AA17" s="11">
        <v>795.36</v>
      </c>
      <c r="AB17" s="4">
        <v>6.63</v>
      </c>
      <c r="AC17" s="4">
        <v>3.26</v>
      </c>
      <c r="AD17" s="4">
        <v>123.7329220090113</v>
      </c>
      <c r="AE17" s="6">
        <v>0.56216432767183022</v>
      </c>
      <c r="AF17" s="4"/>
      <c r="AG17" s="4"/>
      <c r="AH17" s="4"/>
      <c r="AI17" s="10"/>
      <c r="AJ17" s="4">
        <v>0</v>
      </c>
      <c r="AK17" s="6">
        <v>14.830708182361292</v>
      </c>
      <c r="AL17" s="4">
        <v>1</v>
      </c>
    </row>
    <row r="18" spans="1:38" ht="14.25" customHeight="1" x14ac:dyDescent="0.35">
      <c r="A18" s="5">
        <v>159</v>
      </c>
      <c r="B18" s="5">
        <v>70</v>
      </c>
      <c r="C18" s="6">
        <f t="shared" ref="C18:C29" si="1">(B18/(A18/100)^2)</f>
        <v>27.688778133776353</v>
      </c>
      <c r="D18" s="4">
        <v>3</v>
      </c>
      <c r="E18" s="4">
        <v>15.4</v>
      </c>
      <c r="F18" s="4">
        <v>10800</v>
      </c>
      <c r="G18" s="4">
        <v>362000</v>
      </c>
      <c r="H18" s="4">
        <v>86</v>
      </c>
      <c r="I18" s="4">
        <v>9</v>
      </c>
      <c r="J18" s="4">
        <v>9.5</v>
      </c>
      <c r="K18" s="7">
        <v>10.4</v>
      </c>
      <c r="L18" s="7">
        <v>1</v>
      </c>
      <c r="M18" s="7">
        <v>26.5</v>
      </c>
      <c r="N18" s="7">
        <v>379.9</v>
      </c>
      <c r="O18" s="7">
        <v>1.41</v>
      </c>
      <c r="P18" s="8">
        <v>41.3</v>
      </c>
      <c r="Q18" s="7">
        <v>0.82</v>
      </c>
      <c r="R18" s="7">
        <v>85.81</v>
      </c>
      <c r="S18" s="4">
        <v>19</v>
      </c>
      <c r="T18" s="4">
        <v>17</v>
      </c>
      <c r="U18" s="4">
        <v>479</v>
      </c>
      <c r="V18" s="4"/>
      <c r="W18" s="4">
        <v>0.24</v>
      </c>
      <c r="X18" s="4">
        <v>769.2</v>
      </c>
      <c r="Y18" s="10"/>
      <c r="Z18" s="4">
        <v>12.2</v>
      </c>
      <c r="AA18" s="11">
        <v>79.709999999999994</v>
      </c>
      <c r="AB18" s="4">
        <v>4.79</v>
      </c>
      <c r="AC18" s="4">
        <v>64.33</v>
      </c>
      <c r="AD18" s="4">
        <v>1156.0476400119496</v>
      </c>
      <c r="AE18" s="6">
        <v>28.610908896121806</v>
      </c>
      <c r="AF18" s="4">
        <v>541.65</v>
      </c>
      <c r="AG18" s="4">
        <v>1.58</v>
      </c>
      <c r="AH18" s="4">
        <v>76.58</v>
      </c>
      <c r="AI18" s="10"/>
      <c r="AJ18" s="4">
        <v>1</v>
      </c>
      <c r="AK18" s="6">
        <v>9.9008646021629136</v>
      </c>
      <c r="AL18" s="4">
        <v>0</v>
      </c>
    </row>
    <row r="19" spans="1:38" ht="14.25" customHeight="1" x14ac:dyDescent="0.35">
      <c r="A19" s="5">
        <v>160</v>
      </c>
      <c r="B19" s="5">
        <v>45</v>
      </c>
      <c r="C19" s="6">
        <f t="shared" si="1"/>
        <v>17.578124999999996</v>
      </c>
      <c r="D19" s="4">
        <v>4</v>
      </c>
      <c r="E19" s="4">
        <v>13.6</v>
      </c>
      <c r="F19" s="4">
        <v>9420</v>
      </c>
      <c r="G19" s="4">
        <v>203000</v>
      </c>
      <c r="H19" s="4">
        <v>82</v>
      </c>
      <c r="I19" s="4">
        <v>11</v>
      </c>
      <c r="J19" s="4">
        <v>7.4</v>
      </c>
      <c r="K19" s="7">
        <v>10.9</v>
      </c>
      <c r="L19" s="7">
        <v>1.05</v>
      </c>
      <c r="M19" s="7">
        <v>32</v>
      </c>
      <c r="N19" s="7">
        <v>398.3</v>
      </c>
      <c r="O19" s="7">
        <v>6</v>
      </c>
      <c r="P19" s="8">
        <v>29.5</v>
      </c>
      <c r="Q19" s="7">
        <v>1.0900000000000001</v>
      </c>
      <c r="R19" s="7">
        <v>49.618000000000002</v>
      </c>
      <c r="S19" s="4">
        <v>85</v>
      </c>
      <c r="T19" s="4">
        <v>37</v>
      </c>
      <c r="U19" s="4">
        <v>94</v>
      </c>
      <c r="V19" s="4">
        <v>1178</v>
      </c>
      <c r="W19" s="4">
        <v>16.21</v>
      </c>
      <c r="X19" s="4">
        <v>1810</v>
      </c>
      <c r="Y19" s="10">
        <v>0.42</v>
      </c>
      <c r="Z19" s="4"/>
      <c r="AA19" s="11">
        <v>87.62</v>
      </c>
      <c r="AB19" s="4">
        <v>3.86</v>
      </c>
      <c r="AC19" s="4">
        <v>7.96</v>
      </c>
      <c r="AD19" s="4">
        <v>202.04774578851686</v>
      </c>
      <c r="AE19" s="6">
        <v>0.91201843402537974</v>
      </c>
      <c r="AF19" s="4"/>
      <c r="AG19" s="4"/>
      <c r="AH19" s="4"/>
      <c r="AI19" s="12">
        <v>22.15</v>
      </c>
      <c r="AJ19" s="4">
        <v>0</v>
      </c>
      <c r="AK19" s="6">
        <v>11.173654654745905</v>
      </c>
      <c r="AL19" s="4">
        <v>0</v>
      </c>
    </row>
    <row r="20" spans="1:38" ht="14.25" customHeight="1" x14ac:dyDescent="0.35">
      <c r="A20" s="5">
        <v>164</v>
      </c>
      <c r="B20" s="5">
        <v>42</v>
      </c>
      <c r="C20" s="6">
        <f t="shared" si="1"/>
        <v>15.615704937537183</v>
      </c>
      <c r="D20" s="4">
        <v>3</v>
      </c>
      <c r="E20" s="4">
        <v>9.4</v>
      </c>
      <c r="F20" s="4">
        <v>27900</v>
      </c>
      <c r="G20" s="4">
        <v>211000</v>
      </c>
      <c r="H20" s="4">
        <v>88.5</v>
      </c>
      <c r="I20" s="4">
        <v>5.2</v>
      </c>
      <c r="J20" s="4">
        <v>17.190000000000001</v>
      </c>
      <c r="K20" s="7">
        <v>13.9</v>
      </c>
      <c r="L20" s="7">
        <v>1.37</v>
      </c>
      <c r="M20" s="7">
        <v>36.4</v>
      </c>
      <c r="N20" s="7"/>
      <c r="O20" s="7">
        <v>7.1</v>
      </c>
      <c r="P20" s="8">
        <v>38.6</v>
      </c>
      <c r="Q20" s="7">
        <v>0.7</v>
      </c>
      <c r="R20" s="7">
        <v>1113.971</v>
      </c>
      <c r="S20" s="4">
        <v>30</v>
      </c>
      <c r="T20" s="4">
        <v>19</v>
      </c>
      <c r="U20" s="4">
        <v>106</v>
      </c>
      <c r="V20" s="4">
        <v>1177</v>
      </c>
      <c r="W20" s="4">
        <v>28.09</v>
      </c>
      <c r="X20" s="4">
        <v>1724</v>
      </c>
      <c r="Y20" s="10">
        <v>1.89</v>
      </c>
      <c r="Z20" s="4"/>
      <c r="AA20" s="11">
        <v>1115.05</v>
      </c>
      <c r="AB20" s="4">
        <v>15.61</v>
      </c>
      <c r="AC20" s="4">
        <v>4.4000000000000004</v>
      </c>
      <c r="AD20" s="4">
        <v>710.15785405909526</v>
      </c>
      <c r="AE20" s="6">
        <v>57.359097197854553</v>
      </c>
      <c r="AF20" s="4">
        <v>433.54</v>
      </c>
      <c r="AG20" s="4"/>
      <c r="AH20" s="4"/>
      <c r="AI20" s="12">
        <v>519.20000000000005</v>
      </c>
      <c r="AJ20" s="4">
        <v>0</v>
      </c>
      <c r="AK20" s="6">
        <v>67.466939554451812</v>
      </c>
      <c r="AL20" s="4">
        <v>0</v>
      </c>
    </row>
    <row r="21" spans="1:38" ht="14.25" customHeight="1" x14ac:dyDescent="0.35">
      <c r="A21" s="5">
        <v>155</v>
      </c>
      <c r="B21" s="5">
        <v>65</v>
      </c>
      <c r="C21" s="6">
        <f t="shared" si="1"/>
        <v>27.055150884495315</v>
      </c>
      <c r="D21" s="4">
        <v>3</v>
      </c>
      <c r="E21" s="4">
        <v>12.2</v>
      </c>
      <c r="F21" s="4">
        <v>4230</v>
      </c>
      <c r="G21" s="4">
        <v>213000</v>
      </c>
      <c r="H21" s="4">
        <v>78</v>
      </c>
      <c r="I21" s="4">
        <v>17</v>
      </c>
      <c r="J21" s="4">
        <v>4.58</v>
      </c>
      <c r="K21" s="7">
        <v>10.3</v>
      </c>
      <c r="L21" s="7">
        <v>0.99</v>
      </c>
      <c r="M21" s="7">
        <v>27.9</v>
      </c>
      <c r="N21" s="7"/>
      <c r="O21" s="7">
        <v>1.04</v>
      </c>
      <c r="P21" s="8">
        <v>15</v>
      </c>
      <c r="Q21" s="7">
        <v>0.89</v>
      </c>
      <c r="R21" s="7">
        <v>68.010999999999996</v>
      </c>
      <c r="S21" s="4">
        <v>33</v>
      </c>
      <c r="T21" s="4">
        <v>22</v>
      </c>
      <c r="U21" s="4">
        <v>126</v>
      </c>
      <c r="V21" s="4">
        <v>449</v>
      </c>
      <c r="W21" s="4">
        <v>0.8</v>
      </c>
      <c r="X21" s="4">
        <v>571.4</v>
      </c>
      <c r="Y21" s="10">
        <v>0.06</v>
      </c>
      <c r="Z21" s="4"/>
      <c r="AA21" s="11">
        <v>50.39</v>
      </c>
      <c r="AB21" s="4">
        <v>5.0199999999999996</v>
      </c>
      <c r="AC21" s="4">
        <v>4.01</v>
      </c>
      <c r="AD21" s="4">
        <v>834.53753048081967</v>
      </c>
      <c r="AE21" s="6">
        <v>51.612952029030701</v>
      </c>
      <c r="AF21" s="4">
        <v>787.91</v>
      </c>
      <c r="AG21" s="4">
        <v>2.56</v>
      </c>
      <c r="AH21" s="4">
        <v>134.08000000000001</v>
      </c>
      <c r="AI21" s="10">
        <v>47.88</v>
      </c>
      <c r="AJ21" s="4">
        <v>0</v>
      </c>
      <c r="AK21" s="6">
        <v>24.999384056990642</v>
      </c>
      <c r="AL21" s="4">
        <v>0</v>
      </c>
    </row>
    <row r="22" spans="1:38" ht="14.25" customHeight="1" x14ac:dyDescent="0.35">
      <c r="A22" s="5">
        <v>163</v>
      </c>
      <c r="B22" s="5">
        <v>57</v>
      </c>
      <c r="C22" s="6">
        <f t="shared" si="1"/>
        <v>21.453573713726524</v>
      </c>
      <c r="D22" s="4">
        <v>4</v>
      </c>
      <c r="E22" s="4">
        <v>13.1</v>
      </c>
      <c r="F22" s="4">
        <v>17180</v>
      </c>
      <c r="G22" s="4">
        <v>204000</v>
      </c>
      <c r="H22" s="4">
        <v>83</v>
      </c>
      <c r="I22" s="4">
        <v>8</v>
      </c>
      <c r="J22" s="4">
        <v>19</v>
      </c>
      <c r="K22" s="7">
        <v>10.5</v>
      </c>
      <c r="L22" s="7">
        <v>1.01</v>
      </c>
      <c r="M22" s="7">
        <v>45.2</v>
      </c>
      <c r="N22" s="7"/>
      <c r="O22" s="7">
        <v>0.81</v>
      </c>
      <c r="P22" s="8">
        <v>48.8</v>
      </c>
      <c r="Q22" s="7">
        <v>2.17</v>
      </c>
      <c r="R22" s="7">
        <v>30.388999999999999</v>
      </c>
      <c r="S22" s="4">
        <v>33</v>
      </c>
      <c r="T22" s="4">
        <v>37</v>
      </c>
      <c r="U22" s="4">
        <v>207</v>
      </c>
      <c r="V22" s="4">
        <v>932</v>
      </c>
      <c r="W22" s="4">
        <v>0.67</v>
      </c>
      <c r="X22" s="4">
        <v>3169</v>
      </c>
      <c r="Y22" s="10">
        <v>0.39</v>
      </c>
      <c r="Z22" s="4">
        <v>8.6</v>
      </c>
      <c r="AA22" s="11">
        <v>47.16</v>
      </c>
      <c r="AB22" s="4">
        <v>7.6</v>
      </c>
      <c r="AC22" s="4">
        <v>53.15</v>
      </c>
      <c r="AD22" s="4">
        <v>956.65120492176584</v>
      </c>
      <c r="AE22" s="6">
        <v>37.075659407953069</v>
      </c>
      <c r="AF22" s="4">
        <v>615.08000000000004</v>
      </c>
      <c r="AG22" s="4">
        <v>15.11</v>
      </c>
      <c r="AH22" s="4">
        <v>76.58</v>
      </c>
      <c r="AI22" s="10">
        <v>12.99</v>
      </c>
      <c r="AJ22" s="4">
        <v>1</v>
      </c>
      <c r="AK22" s="6">
        <v>13.643587915668732</v>
      </c>
      <c r="AL22" s="4">
        <v>0</v>
      </c>
    </row>
    <row r="23" spans="1:38" ht="14.25" customHeight="1" x14ac:dyDescent="0.35">
      <c r="A23" s="5">
        <v>160</v>
      </c>
      <c r="B23" s="5">
        <v>73</v>
      </c>
      <c r="C23" s="6">
        <f t="shared" si="1"/>
        <v>28.515624999999993</v>
      </c>
      <c r="D23" s="4">
        <v>4</v>
      </c>
      <c r="E23" s="4">
        <v>8.6</v>
      </c>
      <c r="F23" s="4">
        <v>7200</v>
      </c>
      <c r="G23" s="4">
        <v>185000</v>
      </c>
      <c r="H23" s="4">
        <v>61</v>
      </c>
      <c r="I23" s="4">
        <v>14</v>
      </c>
      <c r="J23" s="4">
        <v>4.3</v>
      </c>
      <c r="K23" s="7">
        <v>10.8</v>
      </c>
      <c r="L23" s="7">
        <v>1.04</v>
      </c>
      <c r="M23" s="7">
        <v>29</v>
      </c>
      <c r="N23" s="13">
        <v>322.5</v>
      </c>
      <c r="O23" s="7">
        <v>1.36</v>
      </c>
      <c r="P23" s="8">
        <v>24.7</v>
      </c>
      <c r="Q23" s="7">
        <v>0.91</v>
      </c>
      <c r="R23" s="7">
        <v>66.207999999999998</v>
      </c>
      <c r="S23" s="4">
        <v>19</v>
      </c>
      <c r="T23" s="4">
        <v>23</v>
      </c>
      <c r="U23" s="4">
        <v>149</v>
      </c>
      <c r="V23" s="4">
        <v>494</v>
      </c>
      <c r="W23" s="4">
        <v>11.2</v>
      </c>
      <c r="X23" s="4">
        <v>470.8</v>
      </c>
      <c r="Y23" s="10">
        <v>7.4</v>
      </c>
      <c r="Z23" s="4">
        <v>6.7</v>
      </c>
      <c r="AA23" s="11">
        <v>127.17</v>
      </c>
      <c r="AB23" s="4">
        <v>7.68</v>
      </c>
      <c r="AC23" s="4">
        <v>81.5</v>
      </c>
      <c r="AD23" s="4">
        <v>801.53617529649387</v>
      </c>
      <c r="AE23" s="6">
        <v>25.216883472426414</v>
      </c>
      <c r="AF23" s="4">
        <v>925.78</v>
      </c>
      <c r="AG23" s="4">
        <v>7.28</v>
      </c>
      <c r="AH23" s="4">
        <v>158.11000000000001</v>
      </c>
      <c r="AI23" s="10">
        <v>5.46</v>
      </c>
      <c r="AJ23" s="4">
        <v>1</v>
      </c>
      <c r="AK23" s="6">
        <v>12.313281753343293</v>
      </c>
      <c r="AL23" s="4">
        <v>0</v>
      </c>
    </row>
    <row r="24" spans="1:38" ht="14.25" customHeight="1" x14ac:dyDescent="0.35">
      <c r="A24" s="5">
        <v>160</v>
      </c>
      <c r="B24" s="5">
        <v>60</v>
      </c>
      <c r="C24" s="6">
        <f t="shared" si="1"/>
        <v>23.437499999999996</v>
      </c>
      <c r="D24" s="4">
        <v>4</v>
      </c>
      <c r="E24" s="4">
        <v>14.6</v>
      </c>
      <c r="F24" s="4">
        <v>7320</v>
      </c>
      <c r="G24" s="4">
        <v>286000</v>
      </c>
      <c r="H24" s="4">
        <v>81.8</v>
      </c>
      <c r="I24" s="4">
        <v>12.8</v>
      </c>
      <c r="J24" s="4">
        <v>6.36</v>
      </c>
      <c r="K24" s="7">
        <v>10.6</v>
      </c>
      <c r="L24" s="7">
        <v>1.02</v>
      </c>
      <c r="M24" s="7">
        <v>25.6</v>
      </c>
      <c r="N24" s="7"/>
      <c r="O24" s="7">
        <v>0.79</v>
      </c>
      <c r="P24" s="8">
        <v>40.4</v>
      </c>
      <c r="Q24" s="7">
        <v>1.01</v>
      </c>
      <c r="R24" s="7">
        <v>81.599999999999994</v>
      </c>
      <c r="S24" s="4">
        <v>84</v>
      </c>
      <c r="T24" s="4">
        <v>56</v>
      </c>
      <c r="U24" s="4">
        <v>176</v>
      </c>
      <c r="V24" s="4">
        <v>782</v>
      </c>
      <c r="W24" s="4">
        <v>3.52</v>
      </c>
      <c r="X24" s="4">
        <v>1346</v>
      </c>
      <c r="Y24" s="10">
        <v>0.48</v>
      </c>
      <c r="Z24" s="4"/>
      <c r="AA24" s="11">
        <v>119.18</v>
      </c>
      <c r="AB24" s="4">
        <v>6.87</v>
      </c>
      <c r="AC24" s="4">
        <v>39.32</v>
      </c>
      <c r="AD24" s="4">
        <v>447.21595067159944</v>
      </c>
      <c r="AE24" s="6">
        <v>0.63280064439497474</v>
      </c>
      <c r="AF24" s="4">
        <v>1315.35</v>
      </c>
      <c r="AG24" s="4">
        <v>1.79</v>
      </c>
      <c r="AH24" s="4">
        <v>114.75</v>
      </c>
      <c r="AI24" s="10"/>
      <c r="AJ24" s="4">
        <v>0</v>
      </c>
      <c r="AK24" s="6">
        <v>16.737246510655051</v>
      </c>
      <c r="AL24" s="4">
        <v>0</v>
      </c>
    </row>
    <row r="25" spans="1:38" ht="14.25" customHeight="1" x14ac:dyDescent="0.35">
      <c r="A25" s="5">
        <v>150</v>
      </c>
      <c r="B25" s="5">
        <v>50</v>
      </c>
      <c r="C25" s="6">
        <f t="shared" si="1"/>
        <v>22.222222222222221</v>
      </c>
      <c r="D25" s="4">
        <v>4</v>
      </c>
      <c r="E25" s="4">
        <v>14.7</v>
      </c>
      <c r="F25" s="4">
        <v>28980</v>
      </c>
      <c r="G25" s="4">
        <v>275000</v>
      </c>
      <c r="H25" s="4">
        <v>73.900000000000006</v>
      </c>
      <c r="I25" s="4">
        <v>5.0999999999999996</v>
      </c>
      <c r="J25" s="4">
        <v>14.46</v>
      </c>
      <c r="K25" s="7">
        <v>14.1</v>
      </c>
      <c r="L25" s="7">
        <v>1.39</v>
      </c>
      <c r="M25" s="7">
        <v>23.8</v>
      </c>
      <c r="N25" s="7"/>
      <c r="O25" s="7"/>
      <c r="P25" s="8">
        <v>27.3</v>
      </c>
      <c r="Q25" s="7">
        <v>0.43</v>
      </c>
      <c r="R25" s="7">
        <v>112</v>
      </c>
      <c r="S25" s="4">
        <v>42</v>
      </c>
      <c r="T25" s="4">
        <v>15</v>
      </c>
      <c r="U25" s="4">
        <v>88</v>
      </c>
      <c r="V25" s="4">
        <v>1245</v>
      </c>
      <c r="W25" s="4">
        <v>0.7</v>
      </c>
      <c r="X25" s="4"/>
      <c r="Y25" s="10">
        <v>1.39</v>
      </c>
      <c r="Z25" s="4"/>
      <c r="AA25" s="11">
        <v>1181.17</v>
      </c>
      <c r="AB25" s="4">
        <v>5.47</v>
      </c>
      <c r="AC25" s="4">
        <v>57.22</v>
      </c>
      <c r="AD25" s="4">
        <v>1929.2112941975406</v>
      </c>
      <c r="AE25" s="6">
        <v>66.18046602840171</v>
      </c>
      <c r="AF25" s="4">
        <v>4880.4799999999996</v>
      </c>
      <c r="AG25" s="4"/>
      <c r="AH25" s="4"/>
      <c r="AI25" s="10"/>
      <c r="AJ25" s="4">
        <v>0</v>
      </c>
      <c r="AK25" s="6">
        <v>22.916421756578867</v>
      </c>
      <c r="AL25" s="4">
        <v>1</v>
      </c>
    </row>
    <row r="26" spans="1:38" ht="14.25" customHeight="1" x14ac:dyDescent="0.35">
      <c r="A26" s="5">
        <v>165</v>
      </c>
      <c r="B26" s="5">
        <v>55</v>
      </c>
      <c r="C26" s="6">
        <f t="shared" si="1"/>
        <v>20.202020202020204</v>
      </c>
      <c r="D26" s="4">
        <v>3</v>
      </c>
      <c r="E26" s="4">
        <v>13.4</v>
      </c>
      <c r="F26" s="4">
        <v>8250</v>
      </c>
      <c r="G26" s="4">
        <v>145000</v>
      </c>
      <c r="H26" s="4">
        <v>76.7</v>
      </c>
      <c r="I26" s="4">
        <v>15.4</v>
      </c>
      <c r="J26" s="4">
        <v>4.9800000000000004</v>
      </c>
      <c r="K26" s="7">
        <v>10.7</v>
      </c>
      <c r="L26" s="7">
        <v>1.03</v>
      </c>
      <c r="M26" s="7">
        <v>30.8</v>
      </c>
      <c r="N26" s="7"/>
      <c r="O26" s="7">
        <v>0.97</v>
      </c>
      <c r="P26" s="8">
        <v>50.2</v>
      </c>
      <c r="Q26" s="7">
        <v>2.0299999999999998</v>
      </c>
      <c r="R26" s="7">
        <v>33.4</v>
      </c>
      <c r="S26" s="4">
        <v>88</v>
      </c>
      <c r="T26" s="4">
        <v>45</v>
      </c>
      <c r="U26" s="4">
        <v>158</v>
      </c>
      <c r="V26" s="4">
        <v>1245</v>
      </c>
      <c r="W26" s="4">
        <v>14.68</v>
      </c>
      <c r="X26" s="4">
        <v>938.9</v>
      </c>
      <c r="Y26" s="10">
        <v>1.54</v>
      </c>
      <c r="Z26" s="4">
        <v>7.8</v>
      </c>
      <c r="AA26" s="11">
        <v>144.38999999999999</v>
      </c>
      <c r="AB26" s="4">
        <v>5.93</v>
      </c>
      <c r="AC26" s="4">
        <v>12.92</v>
      </c>
      <c r="AD26" s="4">
        <v>615.67474221153111</v>
      </c>
      <c r="AE26" s="6">
        <v>17.191395848696761</v>
      </c>
      <c r="AF26" s="4">
        <v>1277.4000000000001</v>
      </c>
      <c r="AG26" s="4">
        <v>3.39</v>
      </c>
      <c r="AH26" s="4">
        <v>1968</v>
      </c>
      <c r="AI26" s="10">
        <v>91.77</v>
      </c>
      <c r="AJ26" s="4">
        <v>1</v>
      </c>
      <c r="AK26" s="6">
        <v>13.811884455173193</v>
      </c>
      <c r="AL26" s="4">
        <v>1</v>
      </c>
    </row>
    <row r="27" spans="1:38" ht="14.25" customHeight="1" x14ac:dyDescent="0.35">
      <c r="A27" s="5">
        <v>155</v>
      </c>
      <c r="B27" s="5">
        <v>50</v>
      </c>
      <c r="C27" s="6">
        <f t="shared" si="1"/>
        <v>20.811654526534856</v>
      </c>
      <c r="D27" s="4">
        <v>4</v>
      </c>
      <c r="E27" s="4">
        <v>15.6</v>
      </c>
      <c r="F27" s="4">
        <v>26420</v>
      </c>
      <c r="G27" s="4">
        <v>553000</v>
      </c>
      <c r="H27" s="4">
        <v>85.4</v>
      </c>
      <c r="I27" s="4">
        <v>5</v>
      </c>
      <c r="J27" s="4">
        <v>17.22</v>
      </c>
      <c r="K27" s="7">
        <v>11</v>
      </c>
      <c r="L27" s="7">
        <v>1.06</v>
      </c>
      <c r="M27" s="7">
        <v>68.3</v>
      </c>
      <c r="N27" s="7"/>
      <c r="O27" s="7">
        <v>1.92</v>
      </c>
      <c r="P27" s="8">
        <v>44.6</v>
      </c>
      <c r="Q27" s="7">
        <v>0.95</v>
      </c>
      <c r="R27" s="7">
        <v>68.863</v>
      </c>
      <c r="S27" s="4">
        <v>10</v>
      </c>
      <c r="T27" s="4">
        <v>8</v>
      </c>
      <c r="U27" s="4">
        <v>536</v>
      </c>
      <c r="V27" s="4">
        <v>360</v>
      </c>
      <c r="W27" s="4">
        <v>37.51</v>
      </c>
      <c r="X27" s="4">
        <v>657</v>
      </c>
      <c r="Y27" s="10">
        <v>0.42</v>
      </c>
      <c r="Z27" s="4">
        <v>10.3</v>
      </c>
      <c r="AA27" s="11">
        <v>1192.92</v>
      </c>
      <c r="AB27" s="4">
        <v>4.6500000000000004</v>
      </c>
      <c r="AC27" s="4">
        <v>26.98</v>
      </c>
      <c r="AD27" s="4">
        <v>879.75193454511123</v>
      </c>
      <c r="AE27" s="6">
        <v>15.592196342505339</v>
      </c>
      <c r="AF27" s="4">
        <v>611.5</v>
      </c>
      <c r="AG27" s="4">
        <v>6.76</v>
      </c>
      <c r="AH27" s="4">
        <v>132.88</v>
      </c>
      <c r="AI27" s="10"/>
      <c r="AJ27" s="4">
        <v>1</v>
      </c>
      <c r="AK27" s="6">
        <v>11.335013353462326</v>
      </c>
      <c r="AL27" s="4">
        <v>0</v>
      </c>
    </row>
    <row r="28" spans="1:38" ht="14.25" customHeight="1" x14ac:dyDescent="0.35">
      <c r="A28" s="5">
        <v>168</v>
      </c>
      <c r="B28" s="5">
        <v>78</v>
      </c>
      <c r="C28" s="6">
        <f t="shared" si="1"/>
        <v>27.636054421768712</v>
      </c>
      <c r="D28" s="4">
        <v>4</v>
      </c>
      <c r="E28" s="4">
        <v>12.2</v>
      </c>
      <c r="F28" s="4">
        <v>14600</v>
      </c>
      <c r="G28" s="4">
        <v>210000</v>
      </c>
      <c r="H28" s="4">
        <v>87</v>
      </c>
      <c r="I28" s="4">
        <v>6</v>
      </c>
      <c r="J28" s="4">
        <v>13</v>
      </c>
      <c r="K28" s="7">
        <v>9.8000000000000007</v>
      </c>
      <c r="L28" s="7">
        <v>0.94</v>
      </c>
      <c r="M28" s="7">
        <v>29.9</v>
      </c>
      <c r="N28" s="7"/>
      <c r="O28" s="7">
        <v>0.8</v>
      </c>
      <c r="P28" s="8">
        <v>24.4</v>
      </c>
      <c r="Q28" s="7">
        <v>1.38</v>
      </c>
      <c r="R28" s="7">
        <v>57.956000000000003</v>
      </c>
      <c r="S28" s="4">
        <v>51</v>
      </c>
      <c r="T28" s="4">
        <v>96</v>
      </c>
      <c r="U28" s="4">
        <v>99</v>
      </c>
      <c r="V28" s="4">
        <v>793</v>
      </c>
      <c r="W28" s="4">
        <v>3.25</v>
      </c>
      <c r="X28" s="4">
        <v>462</v>
      </c>
      <c r="Y28" s="10">
        <v>0.45</v>
      </c>
      <c r="Z28" s="4">
        <v>7.1</v>
      </c>
      <c r="AA28" s="11">
        <v>1250.98</v>
      </c>
      <c r="AB28" s="4">
        <v>5.0199999999999996</v>
      </c>
      <c r="AC28" s="4">
        <v>228.78</v>
      </c>
      <c r="AD28" s="4">
        <v>6655.6926750369239</v>
      </c>
      <c r="AE28" s="6">
        <v>298.10264741506876</v>
      </c>
      <c r="AF28" s="4">
        <v>9491.7900000000009</v>
      </c>
      <c r="AG28" s="4">
        <v>2.72</v>
      </c>
      <c r="AH28" s="4">
        <v>850.57</v>
      </c>
      <c r="AI28" s="10"/>
      <c r="AJ28" s="4">
        <v>1</v>
      </c>
      <c r="AK28" s="6">
        <v>13.811884455173193</v>
      </c>
      <c r="AL28" s="4">
        <v>0</v>
      </c>
    </row>
    <row r="29" spans="1:38" ht="14.25" customHeight="1" x14ac:dyDescent="0.35">
      <c r="A29" s="5">
        <v>160</v>
      </c>
      <c r="B29" s="5">
        <v>70</v>
      </c>
      <c r="C29" s="6">
        <f t="shared" si="1"/>
        <v>27.343749999999996</v>
      </c>
      <c r="D29" s="4">
        <v>4</v>
      </c>
      <c r="E29" s="4">
        <v>10</v>
      </c>
      <c r="F29" s="4">
        <v>4360</v>
      </c>
      <c r="G29" s="4">
        <v>324000</v>
      </c>
      <c r="H29" s="4">
        <v>84.8</v>
      </c>
      <c r="I29" s="4">
        <v>8.5</v>
      </c>
      <c r="J29" s="4">
        <v>10</v>
      </c>
      <c r="K29" s="7">
        <v>11.9</v>
      </c>
      <c r="L29" s="7">
        <v>1.1599999999999999</v>
      </c>
      <c r="M29" s="7">
        <v>24.9</v>
      </c>
      <c r="N29" s="7"/>
      <c r="O29" s="7">
        <v>2.31</v>
      </c>
      <c r="P29" s="8">
        <v>25.2</v>
      </c>
      <c r="Q29" s="7">
        <v>0.79</v>
      </c>
      <c r="R29" s="7">
        <v>91.039000000000001</v>
      </c>
      <c r="S29" s="4">
        <v>27</v>
      </c>
      <c r="T29" s="4">
        <v>15</v>
      </c>
      <c r="U29" s="4">
        <v>165</v>
      </c>
      <c r="V29" s="4">
        <v>916</v>
      </c>
      <c r="W29" s="4">
        <v>8.0399999999999991</v>
      </c>
      <c r="X29" s="4">
        <v>252.9</v>
      </c>
      <c r="Y29" s="10">
        <v>0.12</v>
      </c>
      <c r="Z29" s="4"/>
      <c r="AA29" s="11">
        <v>94.66</v>
      </c>
      <c r="AB29" s="4">
        <v>5.55</v>
      </c>
      <c r="AC29" s="4">
        <v>5.08</v>
      </c>
      <c r="AD29" s="4">
        <v>124.11754377628209</v>
      </c>
      <c r="AE29" s="6">
        <v>41.010063344949771</v>
      </c>
      <c r="AF29" s="4">
        <v>1111.8900000000001</v>
      </c>
      <c r="AG29" s="4">
        <v>4.57</v>
      </c>
      <c r="AH29" s="4">
        <v>91.58</v>
      </c>
      <c r="AI29" s="12">
        <v>73.13</v>
      </c>
      <c r="AJ29" s="4">
        <v>0</v>
      </c>
      <c r="AK29" s="6">
        <v>18.153661401379832</v>
      </c>
      <c r="AL29" s="4">
        <v>1</v>
      </c>
    </row>
    <row r="30" spans="1:38" ht="14.25" customHeight="1" x14ac:dyDescent="0.35">
      <c r="A30" s="5"/>
      <c r="B30" s="5"/>
      <c r="C30" s="6"/>
      <c r="D30" s="4">
        <v>4</v>
      </c>
      <c r="E30" s="4">
        <v>13.4</v>
      </c>
      <c r="F30" s="4">
        <v>18500</v>
      </c>
      <c r="G30" s="4">
        <v>357000</v>
      </c>
      <c r="H30" s="4">
        <v>90.7</v>
      </c>
      <c r="I30" s="4">
        <v>5.3</v>
      </c>
      <c r="J30" s="4">
        <v>17.28</v>
      </c>
      <c r="K30" s="7">
        <v>11.9</v>
      </c>
      <c r="L30" s="7">
        <v>1.1599999999999999</v>
      </c>
      <c r="M30" s="7">
        <v>21</v>
      </c>
      <c r="N30" s="7"/>
      <c r="O30" s="7">
        <v>35.200000000000003</v>
      </c>
      <c r="P30" s="8">
        <v>79.900000000000006</v>
      </c>
      <c r="Q30" s="7">
        <v>1.78</v>
      </c>
      <c r="R30" s="7">
        <v>27.617000000000001</v>
      </c>
      <c r="S30" s="4">
        <v>60</v>
      </c>
      <c r="T30" s="4">
        <v>12</v>
      </c>
      <c r="U30" s="4">
        <v>425</v>
      </c>
      <c r="V30" s="4"/>
      <c r="W30" s="4">
        <v>18.649999999999999</v>
      </c>
      <c r="X30" s="4"/>
      <c r="Y30" s="10">
        <v>0.45</v>
      </c>
      <c r="Z30" s="4">
        <v>8.1</v>
      </c>
      <c r="AA30" s="11">
        <v>143.71</v>
      </c>
      <c r="AB30" s="4">
        <v>14.29</v>
      </c>
      <c r="AC30" s="4">
        <v>15.7</v>
      </c>
      <c r="AD30" s="4">
        <v>173.54285660301855</v>
      </c>
      <c r="AE30" s="6">
        <v>2.8128497590356987</v>
      </c>
      <c r="AF30" s="4">
        <v>528.07000000000005</v>
      </c>
      <c r="AG30" s="4">
        <v>5.84</v>
      </c>
      <c r="AH30" s="4">
        <v>102.96</v>
      </c>
      <c r="AI30" s="12">
        <v>3423</v>
      </c>
      <c r="AJ30" s="4">
        <v>1</v>
      </c>
      <c r="AK30" s="6">
        <v>14.489397195701056</v>
      </c>
      <c r="AL30" s="4">
        <v>1</v>
      </c>
    </row>
    <row r="31" spans="1:38" ht="14.25" customHeight="1" x14ac:dyDescent="0.35">
      <c r="A31" s="5">
        <v>150</v>
      </c>
      <c r="B31" s="5">
        <v>50</v>
      </c>
      <c r="C31" s="6">
        <f>(B31/(A31/100)^2)</f>
        <v>22.222222222222221</v>
      </c>
      <c r="D31" s="4">
        <v>3</v>
      </c>
      <c r="E31" s="4">
        <v>18.7</v>
      </c>
      <c r="F31" s="4">
        <v>15690</v>
      </c>
      <c r="G31" s="4">
        <v>482000</v>
      </c>
      <c r="H31" s="4">
        <v>83.4</v>
      </c>
      <c r="I31" s="4">
        <v>7.6</v>
      </c>
      <c r="J31" s="4">
        <v>10.9</v>
      </c>
      <c r="K31" s="7">
        <v>12.1</v>
      </c>
      <c r="L31" s="7">
        <v>1.18</v>
      </c>
      <c r="M31" s="7">
        <v>22.5</v>
      </c>
      <c r="N31" s="7"/>
      <c r="O31" s="7">
        <v>2.96</v>
      </c>
      <c r="P31" s="8">
        <v>300.3</v>
      </c>
      <c r="Q31" s="7">
        <v>4.46</v>
      </c>
      <c r="R31" s="7">
        <v>12.888999999999999</v>
      </c>
      <c r="S31" s="4">
        <v>21</v>
      </c>
      <c r="T31" s="4">
        <v>35</v>
      </c>
      <c r="U31" s="4">
        <v>577</v>
      </c>
      <c r="V31" s="4"/>
      <c r="W31" s="4">
        <v>3.19</v>
      </c>
      <c r="X31" s="4">
        <v>1664</v>
      </c>
      <c r="Y31" s="10">
        <v>0.26</v>
      </c>
      <c r="Z31" s="4">
        <v>10.7</v>
      </c>
      <c r="AA31" s="11">
        <v>324.63</v>
      </c>
      <c r="AB31" s="4">
        <v>8.18</v>
      </c>
      <c r="AC31" s="4">
        <v>5.22</v>
      </c>
      <c r="AD31" s="4">
        <v>669.49097904638745</v>
      </c>
      <c r="AE31" s="6">
        <v>43.263538352628601</v>
      </c>
      <c r="AF31" s="4">
        <v>363.69</v>
      </c>
      <c r="AG31" s="4">
        <v>4.1399999999999997</v>
      </c>
      <c r="AH31" s="4">
        <v>75.58</v>
      </c>
      <c r="AI31" s="12">
        <v>44.21</v>
      </c>
      <c r="AJ31" s="4">
        <v>1</v>
      </c>
      <c r="AK31" s="6">
        <v>12.974821034713276</v>
      </c>
      <c r="AL31" s="4">
        <v>0</v>
      </c>
    </row>
    <row r="32" spans="1:38" ht="14.25" customHeight="1" x14ac:dyDescent="0.35">
      <c r="A32" s="5">
        <v>178</v>
      </c>
      <c r="B32" s="5">
        <v>78</v>
      </c>
      <c r="C32" s="6">
        <f>(B32/(A32/100)^2)</f>
        <v>24.618103774775911</v>
      </c>
      <c r="D32" s="4">
        <v>3</v>
      </c>
      <c r="E32" s="4">
        <v>14.1</v>
      </c>
      <c r="F32" s="4">
        <v>7370</v>
      </c>
      <c r="G32" s="4">
        <v>263000</v>
      </c>
      <c r="H32" s="4">
        <v>80.099999999999994</v>
      </c>
      <c r="I32" s="4">
        <v>11.9</v>
      </c>
      <c r="J32" s="4">
        <v>6.7</v>
      </c>
      <c r="K32" s="7">
        <v>10.6</v>
      </c>
      <c r="L32" s="7">
        <v>1.02</v>
      </c>
      <c r="M32" s="7">
        <v>26</v>
      </c>
      <c r="N32" s="7"/>
      <c r="O32" s="7">
        <v>1.07</v>
      </c>
      <c r="P32" s="8">
        <v>23</v>
      </c>
      <c r="Q32" s="7">
        <v>1.18</v>
      </c>
      <c r="R32" s="7">
        <v>82.894000000000005</v>
      </c>
      <c r="S32" s="4">
        <v>116</v>
      </c>
      <c r="T32" s="4">
        <v>170</v>
      </c>
      <c r="U32" s="4">
        <v>99</v>
      </c>
      <c r="V32" s="4">
        <v>1004</v>
      </c>
      <c r="W32" s="4">
        <v>1.17</v>
      </c>
      <c r="X32" s="4">
        <v>1197</v>
      </c>
      <c r="Y32" s="10">
        <v>0.19</v>
      </c>
      <c r="Z32" s="4"/>
      <c r="AA32" s="11">
        <v>83.18</v>
      </c>
      <c r="AB32" s="4">
        <v>6.48</v>
      </c>
      <c r="AC32" s="4">
        <v>38.49</v>
      </c>
      <c r="AD32" s="4">
        <v>137.93100125464068</v>
      </c>
      <c r="AE32" s="6">
        <v>17.009947605631883</v>
      </c>
      <c r="AF32" s="4">
        <v>1125.3499999999999</v>
      </c>
      <c r="AG32" s="4">
        <v>1.4</v>
      </c>
      <c r="AH32" s="4">
        <v>68.19</v>
      </c>
      <c r="AI32" s="10"/>
      <c r="AJ32" s="4">
        <v>0</v>
      </c>
      <c r="AK32" s="6">
        <v>17.797281179343582</v>
      </c>
      <c r="AL32" s="4">
        <v>0</v>
      </c>
    </row>
    <row r="33" spans="1:38" ht="14.25" customHeight="1" x14ac:dyDescent="0.35">
      <c r="A33" s="5">
        <v>155</v>
      </c>
      <c r="B33" s="5">
        <v>50</v>
      </c>
      <c r="C33" s="6">
        <f>(B33/(A33/100)^2)</f>
        <v>20.811654526534856</v>
      </c>
      <c r="D33" s="4">
        <v>4</v>
      </c>
      <c r="E33" s="4">
        <v>11</v>
      </c>
      <c r="F33" s="4">
        <v>29760</v>
      </c>
      <c r="G33" s="4">
        <v>206000</v>
      </c>
      <c r="H33" s="4">
        <v>92</v>
      </c>
      <c r="I33" s="4">
        <v>2</v>
      </c>
      <c r="J33" s="4">
        <v>45.45</v>
      </c>
      <c r="K33" s="7">
        <v>12.8</v>
      </c>
      <c r="L33" s="7">
        <v>1.25</v>
      </c>
      <c r="M33" s="7">
        <v>28.9</v>
      </c>
      <c r="N33" s="7"/>
      <c r="O33" s="7">
        <v>2.2999999999999998</v>
      </c>
      <c r="P33" s="8">
        <v>41.2</v>
      </c>
      <c r="Q33" s="7">
        <v>1.05</v>
      </c>
      <c r="R33" s="7">
        <v>50.472999999999999</v>
      </c>
      <c r="S33" s="4">
        <v>45</v>
      </c>
      <c r="T33" s="4">
        <v>47</v>
      </c>
      <c r="U33" s="4">
        <v>295</v>
      </c>
      <c r="V33" s="4"/>
      <c r="W33" s="4">
        <v>22.75</v>
      </c>
      <c r="X33" s="4"/>
      <c r="Y33" s="10">
        <v>17.52</v>
      </c>
      <c r="Z33" s="4">
        <v>12.8</v>
      </c>
      <c r="AA33" s="11">
        <v>1150.07</v>
      </c>
      <c r="AB33" s="4">
        <v>5.55</v>
      </c>
      <c r="AC33" s="4">
        <v>97.71</v>
      </c>
      <c r="AD33" s="4">
        <v>547.18099808042518</v>
      </c>
      <c r="AE33" s="6">
        <v>2.4489873681337055</v>
      </c>
      <c r="AF33" s="4"/>
      <c r="AG33" s="4"/>
      <c r="AH33" s="4"/>
      <c r="AI33" s="10"/>
      <c r="AJ33" s="4">
        <v>0</v>
      </c>
      <c r="AK33" s="6">
        <v>18.511530381437321</v>
      </c>
      <c r="AL33" s="4">
        <v>1</v>
      </c>
    </row>
    <row r="34" spans="1:38" ht="14.25" customHeight="1" x14ac:dyDescent="0.35">
      <c r="A34" s="5">
        <v>160</v>
      </c>
      <c r="B34" s="5">
        <v>60</v>
      </c>
      <c r="C34" s="6">
        <f>(B34/(A34/100)^2)</f>
        <v>23.437499999999996</v>
      </c>
      <c r="D34" s="4">
        <v>3</v>
      </c>
      <c r="E34" s="4">
        <v>14</v>
      </c>
      <c r="F34" s="4">
        <v>11410</v>
      </c>
      <c r="G34" s="4">
        <v>183000</v>
      </c>
      <c r="H34" s="4">
        <v>88.2</v>
      </c>
      <c r="I34" s="4">
        <v>5.6</v>
      </c>
      <c r="J34" s="4">
        <v>15.7</v>
      </c>
      <c r="K34" s="7">
        <v>9.8000000000000007</v>
      </c>
      <c r="L34" s="7">
        <v>0.94</v>
      </c>
      <c r="M34" s="7">
        <v>25.9</v>
      </c>
      <c r="N34" s="7">
        <v>361.9</v>
      </c>
      <c r="O34" s="7">
        <v>0.38</v>
      </c>
      <c r="P34" s="8">
        <v>83.3</v>
      </c>
      <c r="Q34" s="7">
        <v>1.89</v>
      </c>
      <c r="R34" s="7">
        <v>35.661999999999999</v>
      </c>
      <c r="S34" s="4">
        <v>55</v>
      </c>
      <c r="T34" s="4">
        <v>61</v>
      </c>
      <c r="U34" s="4">
        <v>688</v>
      </c>
      <c r="V34" s="4">
        <v>826</v>
      </c>
      <c r="W34" s="4">
        <v>1.73</v>
      </c>
      <c r="X34" s="4"/>
      <c r="Y34" s="10">
        <v>2.08</v>
      </c>
      <c r="Z34" s="4">
        <v>8.3000000000000007</v>
      </c>
      <c r="AA34" s="11">
        <v>62.69</v>
      </c>
      <c r="AB34" s="4">
        <v>6.63</v>
      </c>
      <c r="AC34" s="4">
        <v>6.69</v>
      </c>
      <c r="AD34" s="4">
        <v>956.65120492176584</v>
      </c>
      <c r="AE34" s="6">
        <v>27.342170138550248</v>
      </c>
      <c r="AF34" s="4">
        <v>488.1</v>
      </c>
      <c r="AG34" s="4">
        <v>6.85</v>
      </c>
      <c r="AH34" s="4">
        <v>77.59</v>
      </c>
      <c r="AI34" s="12">
        <v>264.8</v>
      </c>
      <c r="AJ34" s="4">
        <v>1</v>
      </c>
      <c r="AK34" s="6">
        <v>14.659842205335076</v>
      </c>
      <c r="AL34" s="4">
        <v>1</v>
      </c>
    </row>
    <row r="35" spans="1:38" ht="14.25" customHeight="1" x14ac:dyDescent="0.35">
      <c r="A35" s="5"/>
      <c r="B35" s="5"/>
      <c r="C35" s="6"/>
      <c r="D35" s="4">
        <v>4</v>
      </c>
      <c r="E35" s="4">
        <v>14.4</v>
      </c>
      <c r="F35" s="4">
        <v>32980</v>
      </c>
      <c r="G35" s="4">
        <v>818000</v>
      </c>
      <c r="H35" s="4">
        <v>81.099999999999994</v>
      </c>
      <c r="I35" s="4">
        <v>14.6</v>
      </c>
      <c r="J35" s="4">
        <v>5.53</v>
      </c>
      <c r="K35" s="7">
        <v>13.5</v>
      </c>
      <c r="L35" s="7">
        <v>1.33</v>
      </c>
      <c r="M35" s="7">
        <v>28</v>
      </c>
      <c r="N35" s="7">
        <v>753</v>
      </c>
      <c r="O35" s="7">
        <v>31.53</v>
      </c>
      <c r="P35" s="8">
        <v>30.9</v>
      </c>
      <c r="Q35" s="7">
        <v>0.49</v>
      </c>
      <c r="R35" s="7">
        <v>127.1</v>
      </c>
      <c r="S35" s="4">
        <v>47</v>
      </c>
      <c r="T35" s="4">
        <v>12</v>
      </c>
      <c r="U35" s="4">
        <v>86</v>
      </c>
      <c r="V35" s="4">
        <v>1151</v>
      </c>
      <c r="W35" s="4">
        <v>24.19</v>
      </c>
      <c r="X35" s="4">
        <v>15170</v>
      </c>
      <c r="Y35" s="10">
        <v>1.1100000000000001</v>
      </c>
      <c r="Z35" s="4">
        <v>8.6999999999999993</v>
      </c>
      <c r="AA35" s="11">
        <v>26.24</v>
      </c>
      <c r="AB35" s="4">
        <v>3.44</v>
      </c>
      <c r="AC35" s="4">
        <v>0.54</v>
      </c>
      <c r="AD35" s="4">
        <v>779.45670475794702</v>
      </c>
      <c r="AE35" s="6">
        <v>17.557109193646617</v>
      </c>
      <c r="AF35" s="4">
        <v>1392.5</v>
      </c>
      <c r="AG35" s="4">
        <v>1.53</v>
      </c>
      <c r="AH35" s="4">
        <v>202.87</v>
      </c>
      <c r="AI35" s="10">
        <v>349.6</v>
      </c>
      <c r="AJ35" s="4">
        <v>1</v>
      </c>
      <c r="AK35" s="6">
        <v>8.0559098112083269</v>
      </c>
      <c r="AL35" s="4">
        <v>1</v>
      </c>
    </row>
    <row r="36" spans="1:38" ht="14.25" customHeight="1" x14ac:dyDescent="0.35">
      <c r="A36" s="5">
        <v>155</v>
      </c>
      <c r="B36" s="5">
        <v>60</v>
      </c>
      <c r="C36" s="6">
        <f>(B36/(A36/100)^2)</f>
        <v>24.973985431841829</v>
      </c>
      <c r="D36" s="4">
        <v>3</v>
      </c>
      <c r="E36" s="4">
        <v>7.3</v>
      </c>
      <c r="F36" s="4">
        <v>9920</v>
      </c>
      <c r="G36" s="4">
        <v>248000</v>
      </c>
      <c r="H36" s="4">
        <v>89</v>
      </c>
      <c r="I36" s="4">
        <v>7</v>
      </c>
      <c r="J36" s="4">
        <v>12.42</v>
      </c>
      <c r="K36" s="7">
        <v>12.1</v>
      </c>
      <c r="L36" s="7">
        <v>1.18</v>
      </c>
      <c r="M36" s="7">
        <v>50.8</v>
      </c>
      <c r="N36" s="7"/>
      <c r="O36" s="7"/>
      <c r="P36" s="8">
        <v>225.7</v>
      </c>
      <c r="Q36" s="7">
        <v>15.96</v>
      </c>
      <c r="R36" s="7">
        <v>2.1789999999999998</v>
      </c>
      <c r="S36" s="4">
        <v>20</v>
      </c>
      <c r="T36" s="4">
        <v>10</v>
      </c>
      <c r="U36" s="4">
        <v>142</v>
      </c>
      <c r="V36" s="4"/>
      <c r="W36" s="4">
        <v>7.84</v>
      </c>
      <c r="X36" s="4"/>
      <c r="Y36" s="10"/>
      <c r="Z36" s="4"/>
      <c r="AA36" s="11">
        <v>55.45</v>
      </c>
      <c r="AB36" s="4">
        <v>4.6500000000000004</v>
      </c>
      <c r="AC36" s="4">
        <v>4.1399999999999997</v>
      </c>
      <c r="AD36" s="4">
        <v>168.76236820132635</v>
      </c>
      <c r="AE36" s="6">
        <v>6.6011286122084192</v>
      </c>
      <c r="AF36" s="4">
        <v>150.71</v>
      </c>
      <c r="AG36" s="4">
        <v>12.72</v>
      </c>
      <c r="AH36" s="4">
        <v>15.85</v>
      </c>
      <c r="AI36" s="10"/>
      <c r="AJ36" s="4">
        <v>1</v>
      </c>
      <c r="AK36" s="6">
        <v>625.32767489314108</v>
      </c>
      <c r="AL36" s="4">
        <v>1</v>
      </c>
    </row>
    <row r="37" spans="1:38" ht="14.25" customHeight="1" x14ac:dyDescent="0.35">
      <c r="A37" s="5">
        <v>170</v>
      </c>
      <c r="B37" s="5">
        <v>85</v>
      </c>
      <c r="C37" s="6">
        <f>(B37/(A37/100)^2)</f>
        <v>29.411764705882355</v>
      </c>
      <c r="D37" s="4">
        <v>4</v>
      </c>
      <c r="E37" s="4">
        <v>14.5</v>
      </c>
      <c r="F37" s="4">
        <v>7410</v>
      </c>
      <c r="G37" s="4">
        <v>247000</v>
      </c>
      <c r="H37" s="4">
        <v>81.5</v>
      </c>
      <c r="I37" s="4">
        <v>13.5</v>
      </c>
      <c r="J37" s="4">
        <v>6.03</v>
      </c>
      <c r="K37" s="7">
        <v>11</v>
      </c>
      <c r="L37" s="7">
        <v>1.06</v>
      </c>
      <c r="M37" s="7">
        <v>29.6</v>
      </c>
      <c r="N37" s="7">
        <v>659.6</v>
      </c>
      <c r="O37" s="7">
        <v>0.91</v>
      </c>
      <c r="P37" s="8">
        <v>20.7</v>
      </c>
      <c r="Q37" s="7">
        <v>0.99</v>
      </c>
      <c r="R37" s="7">
        <v>84.194000000000003</v>
      </c>
      <c r="S37" s="4">
        <v>189</v>
      </c>
      <c r="T37" s="4">
        <v>76</v>
      </c>
      <c r="U37" s="4">
        <v>316</v>
      </c>
      <c r="V37" s="4">
        <v>1422</v>
      </c>
      <c r="W37" s="4">
        <v>25.71</v>
      </c>
      <c r="X37" s="4">
        <v>3514</v>
      </c>
      <c r="Y37" s="10">
        <v>0.56999999999999995</v>
      </c>
      <c r="Z37" s="4">
        <v>10.199999999999999</v>
      </c>
      <c r="AA37" s="11">
        <v>79.09</v>
      </c>
      <c r="AB37" s="4">
        <v>8.76</v>
      </c>
      <c r="AC37" s="4">
        <v>195.24</v>
      </c>
      <c r="AD37" s="4">
        <v>2765.2639535873118</v>
      </c>
      <c r="AE37" s="6">
        <v>237.77235718315427</v>
      </c>
      <c r="AF37" s="4">
        <v>1960.86</v>
      </c>
      <c r="AG37" s="4">
        <v>10.43</v>
      </c>
      <c r="AH37" s="4">
        <v>282.33999999999997</v>
      </c>
      <c r="AI37" s="10">
        <v>31.3</v>
      </c>
      <c r="AJ37" s="4">
        <v>1</v>
      </c>
      <c r="AK37" s="6">
        <v>12.974821034713276</v>
      </c>
      <c r="AL37" s="4">
        <v>1</v>
      </c>
    </row>
    <row r="38" spans="1:38" ht="14.25" customHeight="1" x14ac:dyDescent="0.35">
      <c r="A38" s="5"/>
      <c r="B38" s="5"/>
      <c r="C38" s="6"/>
      <c r="D38" s="4">
        <v>3</v>
      </c>
      <c r="E38" s="4">
        <v>13.6</v>
      </c>
      <c r="F38" s="4">
        <v>5600</v>
      </c>
      <c r="G38" s="4">
        <v>78000</v>
      </c>
      <c r="H38" s="4">
        <v>91</v>
      </c>
      <c r="I38" s="4">
        <v>4.5</v>
      </c>
      <c r="J38" s="4">
        <v>20.52</v>
      </c>
      <c r="K38" s="7">
        <v>21.4</v>
      </c>
      <c r="L38" s="7">
        <v>2.1800000000000002</v>
      </c>
      <c r="M38" s="7">
        <v>38.9</v>
      </c>
      <c r="N38" s="7">
        <v>490.7</v>
      </c>
      <c r="O38" s="7">
        <v>35.200000000000003</v>
      </c>
      <c r="P38" s="8">
        <v>222.7</v>
      </c>
      <c r="Q38" s="7">
        <v>5.96</v>
      </c>
      <c r="R38" s="7">
        <v>11.215999999999999</v>
      </c>
      <c r="S38" s="4">
        <v>197</v>
      </c>
      <c r="T38" s="4">
        <v>71</v>
      </c>
      <c r="U38" s="4">
        <v>184</v>
      </c>
      <c r="V38" s="4"/>
      <c r="W38" s="4">
        <v>28.58</v>
      </c>
      <c r="X38" s="4">
        <v>3457</v>
      </c>
      <c r="Y38" s="10">
        <v>100</v>
      </c>
      <c r="Z38" s="4"/>
      <c r="AA38" s="11">
        <v>722.19</v>
      </c>
      <c r="AB38" s="4">
        <v>8.1999999999999993</v>
      </c>
      <c r="AC38" s="4">
        <v>18.43</v>
      </c>
      <c r="AD38" s="4">
        <v>992.95247781108264</v>
      </c>
      <c r="AE38" s="6">
        <v>20.222115043901905</v>
      </c>
      <c r="AF38" s="4"/>
      <c r="AG38" s="4"/>
      <c r="AH38" s="4"/>
      <c r="AI38" s="10"/>
      <c r="AJ38" s="4">
        <v>0</v>
      </c>
      <c r="AK38" s="6">
        <v>20.505698361866227</v>
      </c>
      <c r="AL38" s="4">
        <v>1</v>
      </c>
    </row>
    <row r="39" spans="1:38" ht="14.25" customHeight="1" x14ac:dyDescent="0.35">
      <c r="A39" s="5">
        <v>165</v>
      </c>
      <c r="B39" s="5">
        <v>90</v>
      </c>
      <c r="C39" s="6">
        <f>(B39/(A39/100)^2)</f>
        <v>33.057851239669425</v>
      </c>
      <c r="D39" s="4">
        <v>4</v>
      </c>
      <c r="E39" s="4">
        <v>16.100000000000001</v>
      </c>
      <c r="F39" s="4">
        <v>15200</v>
      </c>
      <c r="G39" s="4">
        <v>219000</v>
      </c>
      <c r="H39" s="4">
        <v>88.3</v>
      </c>
      <c r="I39" s="4">
        <v>7</v>
      </c>
      <c r="J39" s="4">
        <v>12.55</v>
      </c>
      <c r="K39" s="7">
        <v>11.7</v>
      </c>
      <c r="L39" s="7">
        <v>1.1399999999999999</v>
      </c>
      <c r="M39" s="7">
        <v>30.4</v>
      </c>
      <c r="N39" s="7">
        <v>680.7</v>
      </c>
      <c r="O39" s="7">
        <v>1.45</v>
      </c>
      <c r="P39" s="8">
        <v>79.8</v>
      </c>
      <c r="Q39" s="7">
        <v>2.54</v>
      </c>
      <c r="R39" s="7">
        <v>23.58</v>
      </c>
      <c r="S39" s="4">
        <v>70</v>
      </c>
      <c r="T39" s="4">
        <v>19</v>
      </c>
      <c r="U39" s="4">
        <v>117</v>
      </c>
      <c r="V39" s="4">
        <v>676</v>
      </c>
      <c r="W39" s="4">
        <v>21.27</v>
      </c>
      <c r="X39" s="4">
        <v>559.5</v>
      </c>
      <c r="Y39" s="10">
        <v>0.99</v>
      </c>
      <c r="Z39" s="4">
        <v>6.4</v>
      </c>
      <c r="AA39" s="11">
        <v>1190.21</v>
      </c>
      <c r="AB39" s="4">
        <v>5.47</v>
      </c>
      <c r="AC39" s="4">
        <v>45.33</v>
      </c>
      <c r="AD39" s="4">
        <v>454.21011560599618</v>
      </c>
      <c r="AE39" s="6">
        <v>0.40346499113900314</v>
      </c>
      <c r="AF39" s="4">
        <v>2870.01</v>
      </c>
      <c r="AG39" s="4">
        <v>7.25</v>
      </c>
      <c r="AH39" s="4">
        <v>99.67</v>
      </c>
      <c r="AI39" s="14">
        <v>519.20000000000005</v>
      </c>
      <c r="AJ39" s="4">
        <v>0</v>
      </c>
      <c r="AK39" s="6">
        <v>19.231668436834561</v>
      </c>
      <c r="AL39" s="4">
        <v>1</v>
      </c>
    </row>
    <row r="40" spans="1:38" ht="14.25" customHeight="1" x14ac:dyDescent="0.35">
      <c r="A40" s="5"/>
      <c r="B40" s="5"/>
      <c r="C40" s="6"/>
      <c r="D40" s="4">
        <v>4</v>
      </c>
      <c r="E40" s="4">
        <v>14.6</v>
      </c>
      <c r="F40" s="4">
        <v>17370</v>
      </c>
      <c r="G40" s="4">
        <v>189000</v>
      </c>
      <c r="H40" s="4">
        <v>83.5</v>
      </c>
      <c r="I40" s="4">
        <v>14.5</v>
      </c>
      <c r="J40" s="4">
        <v>5.75</v>
      </c>
      <c r="K40" s="7">
        <v>10.5</v>
      </c>
      <c r="L40" s="7">
        <v>1.01</v>
      </c>
      <c r="M40" s="7">
        <v>24.7</v>
      </c>
      <c r="N40" s="7">
        <v>570.4</v>
      </c>
      <c r="O40" s="7">
        <v>2.21</v>
      </c>
      <c r="P40" s="8">
        <v>48.7</v>
      </c>
      <c r="Q40" s="7">
        <v>1.47</v>
      </c>
      <c r="R40" s="7">
        <v>39.22</v>
      </c>
      <c r="S40" s="4">
        <v>81</v>
      </c>
      <c r="T40" s="4">
        <v>46</v>
      </c>
      <c r="U40" s="4">
        <v>238</v>
      </c>
      <c r="V40" s="4">
        <v>1118</v>
      </c>
      <c r="W40" s="4">
        <v>30.17</v>
      </c>
      <c r="X40" s="4">
        <v>3021</v>
      </c>
      <c r="Y40" s="10">
        <v>1.56</v>
      </c>
      <c r="Z40" s="4">
        <v>7.8</v>
      </c>
      <c r="AA40" s="11">
        <v>157.75</v>
      </c>
      <c r="AB40" s="4">
        <v>6.24</v>
      </c>
      <c r="AC40" s="4">
        <v>13.5</v>
      </c>
      <c r="AD40" s="4">
        <v>188.12747684418235</v>
      </c>
      <c r="AE40" s="6">
        <v>6.4875580077688006</v>
      </c>
      <c r="AF40" s="4">
        <v>764.46</v>
      </c>
      <c r="AG40" s="4">
        <v>32.14</v>
      </c>
      <c r="AH40" s="4">
        <v>137.09</v>
      </c>
      <c r="AI40" s="14">
        <v>441.2</v>
      </c>
      <c r="AJ40" s="4">
        <v>1</v>
      </c>
      <c r="AK40" s="6">
        <v>17.797281179343582</v>
      </c>
      <c r="AL40" s="4">
        <v>1</v>
      </c>
    </row>
    <row r="41" spans="1:38" ht="14.25" customHeight="1" x14ac:dyDescent="0.35">
      <c r="A41" s="5">
        <v>167</v>
      </c>
      <c r="B41" s="5">
        <v>64</v>
      </c>
      <c r="C41" s="6">
        <f>(B41/(A41/100)^2)</f>
        <v>22.948115744558788</v>
      </c>
      <c r="D41" s="4">
        <v>3</v>
      </c>
      <c r="E41" s="4">
        <v>12.4</v>
      </c>
      <c r="F41" s="4">
        <v>6290</v>
      </c>
      <c r="G41" s="4">
        <v>155000</v>
      </c>
      <c r="H41" s="4">
        <v>75.099999999999994</v>
      </c>
      <c r="I41" s="4">
        <v>18.3</v>
      </c>
      <c r="J41" s="4">
        <v>4.1100000000000003</v>
      </c>
      <c r="K41" s="7">
        <v>10.1</v>
      </c>
      <c r="L41" s="7">
        <v>0.97</v>
      </c>
      <c r="M41" s="7">
        <v>25.5</v>
      </c>
      <c r="N41" s="7">
        <v>541</v>
      </c>
      <c r="O41" s="7">
        <v>0.84</v>
      </c>
      <c r="P41" s="8">
        <v>19.399999999999999</v>
      </c>
      <c r="Q41" s="7">
        <v>0.92</v>
      </c>
      <c r="R41" s="7">
        <v>68.150000000000006</v>
      </c>
      <c r="S41" s="4">
        <v>33</v>
      </c>
      <c r="T41" s="4">
        <v>23</v>
      </c>
      <c r="U41" s="4">
        <v>250</v>
      </c>
      <c r="V41" s="4">
        <v>404</v>
      </c>
      <c r="W41" s="4">
        <v>4.7</v>
      </c>
      <c r="X41" s="4">
        <v>514</v>
      </c>
      <c r="Y41" s="10">
        <v>0.02</v>
      </c>
      <c r="Z41" s="4">
        <v>9.5</v>
      </c>
      <c r="AA41" s="11">
        <v>71.91</v>
      </c>
      <c r="AB41" s="4">
        <v>4.3600000000000003</v>
      </c>
      <c r="AC41" s="4">
        <v>74.47</v>
      </c>
      <c r="AD41" s="4">
        <v>655.1027244922941</v>
      </c>
      <c r="AE41" s="6">
        <v>1.7651206091328222</v>
      </c>
      <c r="AF41" s="4"/>
      <c r="AG41" s="4"/>
      <c r="AH41" s="4"/>
      <c r="AI41" s="10"/>
      <c r="AJ41" s="4">
        <v>1</v>
      </c>
      <c r="AK41" s="6">
        <v>18.511530381437321</v>
      </c>
      <c r="AL41" s="4">
        <v>0</v>
      </c>
    </row>
    <row r="42" spans="1:38" ht="14.25" customHeight="1" x14ac:dyDescent="0.35">
      <c r="A42" s="5">
        <v>160</v>
      </c>
      <c r="B42" s="5">
        <v>70</v>
      </c>
      <c r="C42" s="6">
        <f>(B42/(A42/100)^2)</f>
        <v>27.343749999999996</v>
      </c>
      <c r="D42" s="4">
        <v>4</v>
      </c>
      <c r="E42" s="4">
        <v>14</v>
      </c>
      <c r="F42" s="4">
        <v>5260</v>
      </c>
      <c r="G42" s="4">
        <v>145000</v>
      </c>
      <c r="H42" s="4">
        <v>58.3</v>
      </c>
      <c r="I42" s="4">
        <v>27</v>
      </c>
      <c r="J42" s="4">
        <v>2.16</v>
      </c>
      <c r="K42" s="7">
        <v>10.8</v>
      </c>
      <c r="L42" s="7">
        <v>1.04</v>
      </c>
      <c r="M42" s="7">
        <v>29.6</v>
      </c>
      <c r="N42" s="7">
        <v>185.9</v>
      </c>
      <c r="O42" s="7">
        <v>0.24</v>
      </c>
      <c r="P42" s="8">
        <v>44.8</v>
      </c>
      <c r="Q42" s="7">
        <v>1.77</v>
      </c>
      <c r="R42" s="7">
        <v>38.869999999999997</v>
      </c>
      <c r="S42" s="4">
        <v>39</v>
      </c>
      <c r="T42" s="4">
        <v>22</v>
      </c>
      <c r="U42" s="4">
        <v>106</v>
      </c>
      <c r="V42" s="4">
        <v>592</v>
      </c>
      <c r="W42" s="4">
        <v>3.82</v>
      </c>
      <c r="X42" s="4">
        <v>946.3</v>
      </c>
      <c r="Y42" s="10">
        <v>0.18</v>
      </c>
      <c r="Z42" s="4">
        <v>6.1</v>
      </c>
      <c r="AA42" s="11">
        <v>45.99</v>
      </c>
      <c r="AB42" s="4">
        <v>5.24</v>
      </c>
      <c r="AC42" s="4">
        <v>87.28</v>
      </c>
      <c r="AD42" s="4">
        <v>2442.4206079260903</v>
      </c>
      <c r="AE42" s="6">
        <v>53.971227645518915</v>
      </c>
      <c r="AF42" s="4"/>
      <c r="AG42" s="4"/>
      <c r="AH42" s="4"/>
      <c r="AI42" s="14">
        <v>21.01</v>
      </c>
      <c r="AJ42" s="4">
        <v>0</v>
      </c>
      <c r="AK42" s="6">
        <v>15.001992325279762</v>
      </c>
      <c r="AL42" s="4">
        <v>1</v>
      </c>
    </row>
    <row r="43" spans="1:38" ht="14.25" customHeight="1" x14ac:dyDescent="0.35">
      <c r="A43" s="5">
        <v>169</v>
      </c>
      <c r="B43" s="5">
        <v>65</v>
      </c>
      <c r="C43" s="6">
        <f>(B43/(A43/100)^2)</f>
        <v>22.758306781975424</v>
      </c>
      <c r="D43" s="4">
        <v>3</v>
      </c>
      <c r="E43" s="4">
        <v>17.2</v>
      </c>
      <c r="F43" s="4">
        <v>7190</v>
      </c>
      <c r="G43" s="4">
        <v>162000</v>
      </c>
      <c r="H43" s="4">
        <v>74.2</v>
      </c>
      <c r="I43" s="4">
        <v>12.8</v>
      </c>
      <c r="J43" s="4">
        <v>5.79</v>
      </c>
      <c r="K43" s="7">
        <v>10.199999999999999</v>
      </c>
      <c r="L43" s="7">
        <v>0.98</v>
      </c>
      <c r="M43" s="7">
        <v>20.8</v>
      </c>
      <c r="N43" s="7">
        <v>391.5</v>
      </c>
      <c r="O43" s="7">
        <v>35.200000000000003</v>
      </c>
      <c r="P43" s="8">
        <v>51.2</v>
      </c>
      <c r="Q43" s="7">
        <v>1.58</v>
      </c>
      <c r="R43" s="7">
        <v>45.8</v>
      </c>
      <c r="S43" s="4">
        <v>50</v>
      </c>
      <c r="T43" s="4">
        <v>30</v>
      </c>
      <c r="U43" s="4">
        <v>218</v>
      </c>
      <c r="V43" s="4"/>
      <c r="W43" s="4">
        <v>3.16</v>
      </c>
      <c r="X43" s="4">
        <v>1575</v>
      </c>
      <c r="Y43" s="10">
        <v>1.71</v>
      </c>
      <c r="Z43" s="4">
        <v>11.6</v>
      </c>
      <c r="AA43" s="11">
        <v>1121.77</v>
      </c>
      <c r="AB43" s="4">
        <v>3.1</v>
      </c>
      <c r="AC43" s="4">
        <v>4.67</v>
      </c>
      <c r="AD43" s="4">
        <v>523.91442895973637</v>
      </c>
      <c r="AE43" s="6">
        <v>13.822840777578531</v>
      </c>
      <c r="AF43" s="4">
        <v>888.47</v>
      </c>
      <c r="AG43" s="4">
        <v>1.47</v>
      </c>
      <c r="AH43" s="4">
        <v>77.59</v>
      </c>
      <c r="AI43" s="14">
        <v>21.17</v>
      </c>
      <c r="AJ43" s="4">
        <v>1</v>
      </c>
      <c r="AK43" s="6">
        <v>8.0559098112083269</v>
      </c>
      <c r="AL43" s="4">
        <v>0</v>
      </c>
    </row>
    <row r="44" spans="1:38" ht="14.25" customHeight="1" x14ac:dyDescent="0.35">
      <c r="A44" s="5"/>
      <c r="B44" s="5"/>
      <c r="C44" s="6"/>
      <c r="D44" s="4">
        <v>4</v>
      </c>
      <c r="E44" s="4">
        <v>9.5</v>
      </c>
      <c r="F44" s="4">
        <v>18780</v>
      </c>
      <c r="G44" s="4">
        <v>203000</v>
      </c>
      <c r="H44" s="4">
        <v>86.7</v>
      </c>
      <c r="I44" s="4">
        <v>9.6999999999999993</v>
      </c>
      <c r="J44" s="4">
        <v>8.89</v>
      </c>
      <c r="K44" s="7">
        <v>11.4</v>
      </c>
      <c r="L44" s="7">
        <v>1.1000000000000001</v>
      </c>
      <c r="M44" s="7">
        <v>33.200000000000003</v>
      </c>
      <c r="N44" s="7">
        <v>423.6</v>
      </c>
      <c r="O44" s="7">
        <v>1.85</v>
      </c>
      <c r="P44" s="8">
        <v>82.4</v>
      </c>
      <c r="Q44" s="7">
        <v>2.16</v>
      </c>
      <c r="R44" s="7">
        <v>26.6</v>
      </c>
      <c r="S44" s="4">
        <v>36</v>
      </c>
      <c r="T44" s="4">
        <v>20</v>
      </c>
      <c r="U44" s="4">
        <v>368</v>
      </c>
      <c r="V44" s="4">
        <v>5.83</v>
      </c>
      <c r="W44" s="4">
        <v>16.43</v>
      </c>
      <c r="X44" s="4">
        <v>365.3</v>
      </c>
      <c r="Y44" s="10">
        <v>14.58</v>
      </c>
      <c r="Z44" s="4">
        <v>9.1</v>
      </c>
      <c r="AA44" s="11">
        <v>156.03</v>
      </c>
      <c r="AB44" s="4">
        <v>6.55</v>
      </c>
      <c r="AC44" s="4">
        <v>5.36</v>
      </c>
      <c r="AD44" s="4">
        <v>1024.2535976835754</v>
      </c>
      <c r="AE44" s="6">
        <v>219.77188360936356</v>
      </c>
      <c r="AF44" s="4">
        <v>831.59</v>
      </c>
      <c r="AG44" s="4">
        <v>38.89</v>
      </c>
      <c r="AH44" s="4">
        <v>226.54</v>
      </c>
      <c r="AI44" s="14">
        <v>181.1</v>
      </c>
      <c r="AJ44" s="4">
        <v>1</v>
      </c>
      <c r="AK44" s="6">
        <v>10.852418200565964</v>
      </c>
      <c r="AL44" s="4">
        <v>1</v>
      </c>
    </row>
    <row r="45" spans="1:38" ht="14.25" customHeight="1" x14ac:dyDescent="0.35">
      <c r="A45" s="5">
        <v>155</v>
      </c>
      <c r="B45" s="5">
        <v>75</v>
      </c>
      <c r="C45" s="6">
        <f t="shared" ref="C45:C53" si="2">(B45/(A45/100)^2)</f>
        <v>31.217481789802285</v>
      </c>
      <c r="D45" s="4">
        <v>4</v>
      </c>
      <c r="E45" s="4">
        <v>14</v>
      </c>
      <c r="F45" s="4">
        <v>20500</v>
      </c>
      <c r="G45" s="4">
        <v>366000</v>
      </c>
      <c r="H45" s="4">
        <v>88.8</v>
      </c>
      <c r="I45" s="4">
        <v>4.8</v>
      </c>
      <c r="J45" s="4">
        <v>18.579999999999998</v>
      </c>
      <c r="K45" s="7">
        <v>12.4</v>
      </c>
      <c r="L45" s="7">
        <v>1.21</v>
      </c>
      <c r="M45" s="7">
        <v>25.9</v>
      </c>
      <c r="N45" s="7">
        <v>235</v>
      </c>
      <c r="O45" s="7">
        <v>35.200000000000003</v>
      </c>
      <c r="P45" s="8">
        <v>91.2</v>
      </c>
      <c r="Q45" s="7">
        <v>2.19</v>
      </c>
      <c r="R45" s="7">
        <v>23.55</v>
      </c>
      <c r="S45" s="4">
        <v>41</v>
      </c>
      <c r="T45" s="4">
        <v>51</v>
      </c>
      <c r="U45" s="4">
        <v>163</v>
      </c>
      <c r="V45" s="4">
        <v>768</v>
      </c>
      <c r="W45" s="4">
        <v>18.3</v>
      </c>
      <c r="X45" s="4">
        <v>794.4</v>
      </c>
      <c r="Y45" s="10">
        <v>0.73</v>
      </c>
      <c r="Z45" s="4">
        <v>7.6</v>
      </c>
      <c r="AA45" s="11">
        <v>679.67</v>
      </c>
      <c r="AB45" s="4">
        <v>8.18</v>
      </c>
      <c r="AC45" s="4">
        <v>4.67</v>
      </c>
      <c r="AD45" s="4">
        <v>941.92018929261167</v>
      </c>
      <c r="AE45" s="6">
        <v>33.335021640685191</v>
      </c>
      <c r="AF45" s="4">
        <v>266.55</v>
      </c>
      <c r="AG45" s="4">
        <v>26.3</v>
      </c>
      <c r="AH45" s="4">
        <v>73.59</v>
      </c>
      <c r="AI45" s="10">
        <v>181.1</v>
      </c>
      <c r="AJ45" s="4">
        <v>1</v>
      </c>
      <c r="AK45" s="6">
        <v>10.692548789549905</v>
      </c>
      <c r="AL45" s="4">
        <v>1</v>
      </c>
    </row>
    <row r="46" spans="1:38" ht="14.25" customHeight="1" x14ac:dyDescent="0.35">
      <c r="A46" s="5">
        <v>165</v>
      </c>
      <c r="B46" s="5">
        <v>80</v>
      </c>
      <c r="C46" s="6">
        <f t="shared" si="2"/>
        <v>29.384756657483933</v>
      </c>
      <c r="D46" s="4">
        <v>3</v>
      </c>
      <c r="E46" s="4">
        <v>13.1</v>
      </c>
      <c r="F46" s="4">
        <v>5940</v>
      </c>
      <c r="G46" s="4">
        <v>188000</v>
      </c>
      <c r="H46" s="4">
        <v>61.9</v>
      </c>
      <c r="I46" s="4">
        <v>28.3</v>
      </c>
      <c r="J46" s="4">
        <v>2.19</v>
      </c>
      <c r="K46" s="7">
        <v>10.3</v>
      </c>
      <c r="L46" s="7">
        <v>0.99</v>
      </c>
      <c r="M46" s="7">
        <v>23.2</v>
      </c>
      <c r="N46" s="7">
        <v>335.9</v>
      </c>
      <c r="O46" s="7">
        <v>0.48</v>
      </c>
      <c r="P46" s="8">
        <v>28.2</v>
      </c>
      <c r="Q46" s="7">
        <v>0.89</v>
      </c>
      <c r="R46" s="7">
        <v>69.45</v>
      </c>
      <c r="S46" s="4">
        <v>71</v>
      </c>
      <c r="T46" s="4">
        <v>79</v>
      </c>
      <c r="U46" s="4">
        <v>114</v>
      </c>
      <c r="V46" s="4">
        <v>314</v>
      </c>
      <c r="W46" s="4">
        <v>0.2</v>
      </c>
      <c r="X46" s="4">
        <v>723</v>
      </c>
      <c r="Y46" s="10">
        <v>0.13</v>
      </c>
      <c r="Z46" s="4">
        <v>6.7</v>
      </c>
      <c r="AA46" s="11">
        <v>69.44</v>
      </c>
      <c r="AB46" s="4">
        <v>7.52</v>
      </c>
      <c r="AC46" s="4">
        <v>55.33</v>
      </c>
      <c r="AD46" s="4">
        <v>1345.931628997321</v>
      </c>
      <c r="AE46" s="6">
        <v>1.2916365543364761</v>
      </c>
      <c r="AF46" s="4"/>
      <c r="AG46" s="4"/>
      <c r="AH46" s="4"/>
      <c r="AI46" s="14">
        <v>12.56</v>
      </c>
      <c r="AJ46" s="4">
        <v>0</v>
      </c>
      <c r="AK46" s="6">
        <v>24.42751050560905</v>
      </c>
      <c r="AL46" s="4">
        <v>0</v>
      </c>
    </row>
    <row r="47" spans="1:38" ht="14.25" customHeight="1" x14ac:dyDescent="0.35">
      <c r="A47" s="5">
        <v>169</v>
      </c>
      <c r="B47" s="5">
        <v>79</v>
      </c>
      <c r="C47" s="6">
        <f t="shared" si="2"/>
        <v>27.660095935016283</v>
      </c>
      <c r="D47" s="4">
        <v>4</v>
      </c>
      <c r="E47" s="4">
        <v>15.5</v>
      </c>
      <c r="F47" s="4">
        <v>18620</v>
      </c>
      <c r="G47" s="4">
        <v>245000</v>
      </c>
      <c r="H47" s="4">
        <v>94.2</v>
      </c>
      <c r="I47" s="4">
        <v>2.1</v>
      </c>
      <c r="J47" s="4">
        <v>43.5</v>
      </c>
      <c r="K47" s="7">
        <v>11.9</v>
      </c>
      <c r="L47" s="7">
        <v>1.1599999999999999</v>
      </c>
      <c r="M47" s="7">
        <v>24.1</v>
      </c>
      <c r="N47" s="7">
        <v>398</v>
      </c>
      <c r="O47" s="7">
        <v>4.03</v>
      </c>
      <c r="P47" s="8">
        <v>162.19999999999999</v>
      </c>
      <c r="Q47" s="7">
        <v>2.54</v>
      </c>
      <c r="R47" s="7">
        <v>25.29</v>
      </c>
      <c r="S47" s="4">
        <v>29</v>
      </c>
      <c r="T47" s="4">
        <v>41</v>
      </c>
      <c r="U47" s="4">
        <v>155</v>
      </c>
      <c r="V47" s="4">
        <v>232</v>
      </c>
      <c r="W47" s="4">
        <v>1.1499999999999999</v>
      </c>
      <c r="X47" s="4">
        <v>824.6</v>
      </c>
      <c r="Y47" s="10">
        <v>0.48</v>
      </c>
      <c r="Z47" s="4"/>
      <c r="AA47" s="11">
        <v>531.14</v>
      </c>
      <c r="AB47" s="4">
        <v>9.5299999999999994</v>
      </c>
      <c r="AC47" s="4">
        <v>5.22</v>
      </c>
      <c r="AD47" s="4">
        <v>712.36536815020804</v>
      </c>
      <c r="AE47" s="6">
        <v>0.86909398743094846</v>
      </c>
      <c r="AF47" s="4">
        <v>835.61</v>
      </c>
      <c r="AG47" s="4">
        <v>4.1900000000000004</v>
      </c>
      <c r="AH47" s="4">
        <v>78.099999999999994</v>
      </c>
      <c r="AI47" s="14">
        <v>58.45</v>
      </c>
      <c r="AJ47" s="4">
        <v>0</v>
      </c>
      <c r="AK47" s="6">
        <v>16.386997219402918</v>
      </c>
      <c r="AL47" s="4">
        <v>0</v>
      </c>
    </row>
    <row r="48" spans="1:38" ht="14.25" customHeight="1" x14ac:dyDescent="0.35">
      <c r="A48" s="5">
        <v>150</v>
      </c>
      <c r="B48" s="5">
        <v>65</v>
      </c>
      <c r="C48" s="6">
        <f t="shared" si="2"/>
        <v>28.888888888888889</v>
      </c>
      <c r="D48" s="4">
        <v>3</v>
      </c>
      <c r="E48" s="4">
        <v>10.199999999999999</v>
      </c>
      <c r="F48" s="4">
        <v>5840</v>
      </c>
      <c r="G48" s="4">
        <v>332000</v>
      </c>
      <c r="H48" s="4">
        <v>56.8</v>
      </c>
      <c r="I48" s="4">
        <v>37.799999999999997</v>
      </c>
      <c r="J48" s="4">
        <v>1.5</v>
      </c>
      <c r="K48" s="7">
        <v>10.5</v>
      </c>
      <c r="L48" s="7">
        <v>1.01</v>
      </c>
      <c r="M48" s="7">
        <v>32.5</v>
      </c>
      <c r="N48" s="7">
        <v>461</v>
      </c>
      <c r="O48" s="7">
        <v>0.54</v>
      </c>
      <c r="P48" s="8">
        <v>22.8</v>
      </c>
      <c r="Q48" s="7">
        <v>1.05</v>
      </c>
      <c r="R48" s="7">
        <v>53.7</v>
      </c>
      <c r="S48" s="4">
        <v>38</v>
      </c>
      <c r="T48" s="4">
        <v>18</v>
      </c>
      <c r="U48" s="4">
        <v>91</v>
      </c>
      <c r="V48" s="4">
        <v>664</v>
      </c>
      <c r="W48" s="4">
        <v>9.99</v>
      </c>
      <c r="X48" s="4">
        <v>237</v>
      </c>
      <c r="Y48" s="10">
        <v>0.08</v>
      </c>
      <c r="Z48" s="4">
        <v>7.3</v>
      </c>
      <c r="AA48" s="11">
        <v>53.36</v>
      </c>
      <c r="AB48" s="4">
        <v>3.93</v>
      </c>
      <c r="AC48" s="4">
        <v>182.44</v>
      </c>
      <c r="AD48" s="4">
        <v>6432.3004612944424</v>
      </c>
      <c r="AE48" s="6">
        <v>61.01611542786879</v>
      </c>
      <c r="AF48" s="4">
        <v>80.78</v>
      </c>
      <c r="AG48" s="4">
        <v>6.01</v>
      </c>
      <c r="AH48" s="4">
        <v>798.35</v>
      </c>
      <c r="AI48" s="14">
        <v>20.91</v>
      </c>
      <c r="AJ48" s="4">
        <v>1</v>
      </c>
      <c r="AK48" s="6">
        <v>14.659842205335076</v>
      </c>
      <c r="AL48" s="4">
        <v>1</v>
      </c>
    </row>
    <row r="49" spans="1:38" ht="14.25" customHeight="1" x14ac:dyDescent="0.35">
      <c r="A49" s="5">
        <v>150</v>
      </c>
      <c r="B49" s="5">
        <v>50</v>
      </c>
      <c r="C49" s="6">
        <f t="shared" si="2"/>
        <v>22.222222222222221</v>
      </c>
      <c r="D49" s="4">
        <v>2</v>
      </c>
      <c r="E49" s="4">
        <v>12</v>
      </c>
      <c r="F49" s="4">
        <v>4650</v>
      </c>
      <c r="G49" s="4">
        <v>403000</v>
      </c>
      <c r="H49" s="4">
        <v>54</v>
      </c>
      <c r="I49" s="4">
        <v>29</v>
      </c>
      <c r="J49" s="4">
        <v>1</v>
      </c>
      <c r="K49" s="7">
        <v>11.1</v>
      </c>
      <c r="L49" s="7">
        <v>1.07</v>
      </c>
      <c r="M49" s="7">
        <v>24.8</v>
      </c>
      <c r="N49" s="7">
        <v>310.39999999999998</v>
      </c>
      <c r="O49" s="7">
        <v>4.08</v>
      </c>
      <c r="P49" s="8">
        <v>9.1999999999999993</v>
      </c>
      <c r="Q49" s="7">
        <v>0.73</v>
      </c>
      <c r="R49" s="9">
        <v>92.063999999999993</v>
      </c>
      <c r="S49" s="4">
        <v>33</v>
      </c>
      <c r="T49" s="4">
        <v>22</v>
      </c>
      <c r="U49" s="4">
        <v>83</v>
      </c>
      <c r="V49" s="4"/>
      <c r="W49" s="4">
        <v>2</v>
      </c>
      <c r="X49" s="4"/>
      <c r="Y49" s="10"/>
      <c r="Z49" s="4"/>
      <c r="AA49" s="11">
        <v>111.25</v>
      </c>
      <c r="AB49" s="4">
        <v>4.5</v>
      </c>
      <c r="AC49" s="4">
        <v>63.02</v>
      </c>
      <c r="AD49" s="4">
        <v>1693.4323506963622</v>
      </c>
      <c r="AE49" s="6">
        <v>32.585334289943695</v>
      </c>
      <c r="AF49" s="4">
        <v>1476.28</v>
      </c>
      <c r="AG49" s="4">
        <v>1.79</v>
      </c>
      <c r="AH49" s="4">
        <v>126.94</v>
      </c>
      <c r="AI49" s="10"/>
      <c r="AJ49" s="4">
        <v>0</v>
      </c>
      <c r="AK49" s="6">
        <v>11.985291008449572</v>
      </c>
      <c r="AL49" s="4">
        <v>0</v>
      </c>
    </row>
    <row r="50" spans="1:38" ht="14.25" customHeight="1" x14ac:dyDescent="0.35">
      <c r="A50" s="5">
        <v>160</v>
      </c>
      <c r="B50" s="5">
        <v>80</v>
      </c>
      <c r="C50" s="6">
        <f t="shared" si="2"/>
        <v>31.249999999999993</v>
      </c>
      <c r="D50" s="4">
        <v>2</v>
      </c>
      <c r="E50" s="4">
        <v>13</v>
      </c>
      <c r="F50" s="4">
        <v>5000</v>
      </c>
      <c r="G50" s="4">
        <v>194000</v>
      </c>
      <c r="H50" s="4">
        <v>74</v>
      </c>
      <c r="I50" s="4">
        <v>22</v>
      </c>
      <c r="J50" s="4">
        <v>33</v>
      </c>
      <c r="K50" s="7"/>
      <c r="L50" s="7"/>
      <c r="M50" s="7"/>
      <c r="N50" s="7"/>
      <c r="O50" s="7">
        <v>0.65</v>
      </c>
      <c r="P50" s="8">
        <v>33</v>
      </c>
      <c r="Q50" s="7">
        <v>1.05</v>
      </c>
      <c r="R50" s="9">
        <v>62.753</v>
      </c>
      <c r="S50" s="4">
        <v>109</v>
      </c>
      <c r="T50" s="4">
        <v>47</v>
      </c>
      <c r="U50" s="4">
        <v>1186</v>
      </c>
      <c r="V50" s="4">
        <v>1186</v>
      </c>
      <c r="W50" s="4">
        <v>4.05</v>
      </c>
      <c r="X50" s="4">
        <v>3437</v>
      </c>
      <c r="Y50" s="10">
        <v>0.6</v>
      </c>
      <c r="Z50" s="4"/>
      <c r="AA50" s="11">
        <v>37.35</v>
      </c>
      <c r="AB50" s="4">
        <v>8.01</v>
      </c>
      <c r="AC50" s="4">
        <v>36.840000000000003</v>
      </c>
      <c r="AD50" s="4">
        <v>688.45547862339413</v>
      </c>
      <c r="AE50" s="6">
        <v>13.17616104595041</v>
      </c>
      <c r="AF50" s="4"/>
      <c r="AG50" s="4"/>
      <c r="AH50" s="4"/>
      <c r="AI50" s="14">
        <v>23.01</v>
      </c>
      <c r="AJ50" s="4">
        <v>0</v>
      </c>
      <c r="AK50" s="6">
        <v>20.139927644124512</v>
      </c>
      <c r="AL50" s="4">
        <v>1</v>
      </c>
    </row>
    <row r="51" spans="1:38" ht="14.25" customHeight="1" x14ac:dyDescent="0.35">
      <c r="A51" s="5">
        <v>165</v>
      </c>
      <c r="B51" s="5">
        <v>60</v>
      </c>
      <c r="C51" s="6">
        <f t="shared" si="2"/>
        <v>22.03856749311295</v>
      </c>
      <c r="D51" s="4">
        <v>2</v>
      </c>
      <c r="E51" s="15">
        <v>9.3000000000000007</v>
      </c>
      <c r="F51" s="16">
        <v>21650</v>
      </c>
      <c r="G51" s="16">
        <v>606000</v>
      </c>
      <c r="H51" s="4">
        <v>84.7</v>
      </c>
      <c r="I51" s="4">
        <v>8.8000000000000007</v>
      </c>
      <c r="J51" s="7">
        <v>9.65</v>
      </c>
      <c r="K51" s="7">
        <v>10.3</v>
      </c>
      <c r="L51" s="7">
        <v>0.99</v>
      </c>
      <c r="M51" s="7">
        <v>25.6</v>
      </c>
      <c r="N51" s="13">
        <v>433.5</v>
      </c>
      <c r="O51" s="7">
        <v>4.0199999999999996</v>
      </c>
      <c r="P51" s="8">
        <v>12.5</v>
      </c>
      <c r="Q51" s="7">
        <v>0.54</v>
      </c>
      <c r="R51" s="9">
        <v>106.98099999999999</v>
      </c>
      <c r="S51" s="8">
        <v>67</v>
      </c>
      <c r="T51" s="8">
        <v>121</v>
      </c>
      <c r="U51" s="4">
        <v>86</v>
      </c>
      <c r="V51" s="4"/>
      <c r="W51" s="9">
        <v>5.54</v>
      </c>
      <c r="X51" s="9">
        <v>493.2</v>
      </c>
      <c r="Y51" s="17">
        <v>7.0000000000000007E-2</v>
      </c>
      <c r="Z51" s="4"/>
      <c r="AA51" s="11">
        <v>470.79</v>
      </c>
      <c r="AB51" s="4">
        <v>4.9400000000000004</v>
      </c>
      <c r="AC51" s="4">
        <v>5.65</v>
      </c>
      <c r="AD51" s="4">
        <v>950.73135255345062</v>
      </c>
      <c r="AE51" s="6">
        <v>12.858490959952187</v>
      </c>
      <c r="AF51" s="4"/>
      <c r="AG51" s="4"/>
      <c r="AH51" s="4"/>
      <c r="AI51" s="10"/>
      <c r="AJ51" s="4">
        <v>0</v>
      </c>
      <c r="AK51" s="6">
        <v>11.496860272787149</v>
      </c>
      <c r="AL51" s="4">
        <v>0</v>
      </c>
    </row>
    <row r="52" spans="1:38" ht="14.25" customHeight="1" x14ac:dyDescent="0.35">
      <c r="A52" s="5">
        <v>157</v>
      </c>
      <c r="B52" s="5">
        <v>65</v>
      </c>
      <c r="C52" s="6">
        <f t="shared" si="2"/>
        <v>26.370238143535232</v>
      </c>
      <c r="D52" s="4">
        <v>2</v>
      </c>
      <c r="E52" s="4">
        <v>13.1</v>
      </c>
      <c r="F52" s="4">
        <v>6200</v>
      </c>
      <c r="G52" s="4">
        <v>127000</v>
      </c>
      <c r="H52" s="4">
        <v>78.7</v>
      </c>
      <c r="I52" s="4">
        <v>15</v>
      </c>
      <c r="J52" s="4">
        <v>5.25</v>
      </c>
      <c r="K52" s="7">
        <v>12.5</v>
      </c>
      <c r="L52" s="7">
        <v>1.22</v>
      </c>
      <c r="M52" s="7">
        <v>26.3</v>
      </c>
      <c r="N52" s="7"/>
      <c r="O52" s="7">
        <v>0.26</v>
      </c>
      <c r="P52" s="8">
        <v>20.8</v>
      </c>
      <c r="Q52" s="7">
        <v>0.79</v>
      </c>
      <c r="R52" s="7">
        <v>96.301000000000002</v>
      </c>
      <c r="S52" s="4">
        <v>50</v>
      </c>
      <c r="T52" s="4">
        <v>32</v>
      </c>
      <c r="U52" s="4">
        <v>99</v>
      </c>
      <c r="V52" s="4">
        <v>872</v>
      </c>
      <c r="W52" s="4">
        <v>0.44</v>
      </c>
      <c r="X52" s="4">
        <v>425.9</v>
      </c>
      <c r="Y52" s="10">
        <v>0.08</v>
      </c>
      <c r="Z52" s="4"/>
      <c r="AA52" s="11">
        <v>58.45</v>
      </c>
      <c r="AB52" s="4">
        <v>5.17</v>
      </c>
      <c r="AC52" s="4">
        <v>5.8</v>
      </c>
      <c r="AD52" s="4">
        <v>126.45051226169586</v>
      </c>
      <c r="AE52" s="6">
        <v>0.84801042925666259</v>
      </c>
      <c r="AF52" s="4">
        <v>1054.27</v>
      </c>
      <c r="AG52" s="4">
        <v>3.39</v>
      </c>
      <c r="AH52" s="4">
        <v>18.64</v>
      </c>
      <c r="AI52" s="10"/>
      <c r="AJ52" s="4">
        <v>0</v>
      </c>
      <c r="AK52" s="6">
        <v>12.643134479061267</v>
      </c>
      <c r="AL52" s="4">
        <v>0</v>
      </c>
    </row>
    <row r="53" spans="1:38" ht="14.25" customHeight="1" x14ac:dyDescent="0.35">
      <c r="A53" s="5">
        <v>170</v>
      </c>
      <c r="B53" s="5">
        <v>65</v>
      </c>
      <c r="C53" s="6">
        <f t="shared" si="2"/>
        <v>22.491349480968861</v>
      </c>
      <c r="D53" s="4">
        <v>2</v>
      </c>
      <c r="E53" s="4">
        <v>11.9</v>
      </c>
      <c r="F53" s="4">
        <v>2230</v>
      </c>
      <c r="G53" s="4">
        <v>102000</v>
      </c>
      <c r="H53" s="4">
        <v>73.099999999999994</v>
      </c>
      <c r="I53" s="4">
        <v>19.7</v>
      </c>
      <c r="J53" s="4">
        <v>7.53</v>
      </c>
      <c r="K53" s="7">
        <v>10.7</v>
      </c>
      <c r="L53" s="7">
        <v>1.03</v>
      </c>
      <c r="M53" s="7">
        <v>24.4</v>
      </c>
      <c r="N53" s="13">
        <v>465.5</v>
      </c>
      <c r="O53" s="7">
        <v>2.77</v>
      </c>
      <c r="P53" s="8">
        <v>17.399999999999999</v>
      </c>
      <c r="Q53" s="7">
        <v>1.06</v>
      </c>
      <c r="R53" s="7">
        <v>91.113</v>
      </c>
      <c r="S53" s="4">
        <v>86</v>
      </c>
      <c r="T53" s="4">
        <v>131</v>
      </c>
      <c r="U53" s="4">
        <v>127</v>
      </c>
      <c r="V53" s="4">
        <v>1195</v>
      </c>
      <c r="W53" s="4">
        <v>8.8699999999999992</v>
      </c>
      <c r="X53" s="4">
        <v>4778</v>
      </c>
      <c r="Y53" s="10">
        <v>0.1</v>
      </c>
      <c r="Z53" s="4"/>
      <c r="AA53" s="11">
        <v>97.24</v>
      </c>
      <c r="AB53" s="4">
        <v>8.76</v>
      </c>
      <c r="AC53" s="4">
        <v>39.6</v>
      </c>
      <c r="AD53" s="4">
        <v>657.13910061230354</v>
      </c>
      <c r="AE53" s="6">
        <v>0.66964626523756876</v>
      </c>
      <c r="AF53" s="4"/>
      <c r="AG53" s="4"/>
      <c r="AH53" s="4"/>
      <c r="AI53" s="14">
        <v>4.4000000000000004</v>
      </c>
      <c r="AJ53" s="4">
        <v>0</v>
      </c>
      <c r="AK53" s="6">
        <v>13.475730135897532</v>
      </c>
      <c r="AL53" s="4">
        <v>0</v>
      </c>
    </row>
    <row r="54" spans="1:38" ht="14.25" customHeight="1" x14ac:dyDescent="0.35">
      <c r="A54" s="5"/>
      <c r="B54" s="5"/>
      <c r="C54" s="6"/>
      <c r="D54" s="4">
        <v>2</v>
      </c>
      <c r="E54" s="4">
        <v>14.7</v>
      </c>
      <c r="F54" s="4">
        <v>6810</v>
      </c>
      <c r="G54" s="4">
        <v>164000</v>
      </c>
      <c r="H54" s="4">
        <v>71.5</v>
      </c>
      <c r="I54" s="4">
        <v>18.2</v>
      </c>
      <c r="J54" s="4">
        <v>3.92</v>
      </c>
      <c r="K54" s="7">
        <v>11.6</v>
      </c>
      <c r="L54" s="7">
        <v>1.1299999999999999</v>
      </c>
      <c r="M54" s="7">
        <v>28.9</v>
      </c>
      <c r="N54" s="7">
        <v>295.89999999999998</v>
      </c>
      <c r="O54" s="7">
        <v>1.06</v>
      </c>
      <c r="P54" s="8">
        <v>32.6</v>
      </c>
      <c r="Q54" s="7">
        <v>1.73</v>
      </c>
      <c r="R54" s="7">
        <v>36.222999999999999</v>
      </c>
      <c r="S54" s="4">
        <v>102</v>
      </c>
      <c r="T54" s="4">
        <v>77</v>
      </c>
      <c r="U54" s="4">
        <v>125</v>
      </c>
      <c r="V54" s="4">
        <v>805</v>
      </c>
      <c r="W54" s="4">
        <v>1.49</v>
      </c>
      <c r="X54" s="4">
        <v>1972</v>
      </c>
      <c r="Y54" s="10">
        <v>0.14000000000000001</v>
      </c>
      <c r="Z54" s="4"/>
      <c r="AA54" s="11">
        <v>41.64</v>
      </c>
      <c r="AB54" s="4">
        <v>7.52</v>
      </c>
      <c r="AC54" s="4">
        <v>36.57</v>
      </c>
      <c r="AD54" s="4">
        <v>748.63349234987152</v>
      </c>
      <c r="AE54" s="6">
        <v>25.768036172912609</v>
      </c>
      <c r="AF54" s="4"/>
      <c r="AG54" s="4"/>
      <c r="AH54" s="4"/>
      <c r="AI54" s="10">
        <v>47.23</v>
      </c>
      <c r="AJ54" s="4">
        <v>0</v>
      </c>
      <c r="AK54" s="6">
        <v>24.999384056990642</v>
      </c>
      <c r="AL54" s="4">
        <v>0</v>
      </c>
    </row>
    <row r="55" spans="1:38" ht="14.25" customHeight="1" x14ac:dyDescent="0.35">
      <c r="A55" s="5">
        <v>156</v>
      </c>
      <c r="B55" s="5">
        <v>80</v>
      </c>
      <c r="C55" s="6">
        <f t="shared" ref="C55:C63" si="3">(B55/(A55/100)^2)</f>
        <v>32.873109796186718</v>
      </c>
      <c r="D55" s="4">
        <v>2</v>
      </c>
      <c r="E55" s="4">
        <v>11.2</v>
      </c>
      <c r="F55" s="4">
        <v>13500</v>
      </c>
      <c r="G55" s="4">
        <v>393000</v>
      </c>
      <c r="H55" s="4">
        <v>81</v>
      </c>
      <c r="I55" s="4">
        <v>12</v>
      </c>
      <c r="J55" s="4">
        <v>6.77</v>
      </c>
      <c r="K55" s="7">
        <v>12.1</v>
      </c>
      <c r="L55" s="7">
        <v>1.18</v>
      </c>
      <c r="M55" s="7">
        <v>17.8</v>
      </c>
      <c r="N55" s="7"/>
      <c r="O55" s="7">
        <v>2.27</v>
      </c>
      <c r="P55" s="8">
        <v>57.6</v>
      </c>
      <c r="Q55" s="7">
        <v>1.1599999999999999</v>
      </c>
      <c r="R55" s="7">
        <v>49.024000000000001</v>
      </c>
      <c r="S55" s="4">
        <v>209</v>
      </c>
      <c r="T55" s="4">
        <v>47</v>
      </c>
      <c r="U55" s="4">
        <v>322</v>
      </c>
      <c r="V55" s="4">
        <v>1508</v>
      </c>
      <c r="W55" s="4">
        <v>1.1100000000000001</v>
      </c>
      <c r="X55" s="4">
        <v>720.7</v>
      </c>
      <c r="Y55" s="10">
        <v>0.22</v>
      </c>
      <c r="Z55" s="4">
        <v>12.6</v>
      </c>
      <c r="AA55" s="11">
        <v>24.09</v>
      </c>
      <c r="AB55" s="4">
        <v>8.01</v>
      </c>
      <c r="AC55" s="4">
        <v>27.72</v>
      </c>
      <c r="AD55" s="4">
        <v>241.89807249872604</v>
      </c>
      <c r="AE55" s="6">
        <v>0.52837657600763299</v>
      </c>
      <c r="AF55" s="4">
        <v>501.29</v>
      </c>
      <c r="AG55" s="4">
        <v>3.15</v>
      </c>
      <c r="AH55" s="4">
        <v>72.599999999999994</v>
      </c>
      <c r="AI55" s="10"/>
      <c r="AJ55" s="4">
        <v>1</v>
      </c>
      <c r="AK55" s="6">
        <v>14.659842205335076</v>
      </c>
      <c r="AL55" s="4">
        <v>0</v>
      </c>
    </row>
    <row r="56" spans="1:38" ht="14.25" customHeight="1" x14ac:dyDescent="0.35">
      <c r="A56" s="5">
        <v>150</v>
      </c>
      <c r="B56" s="5">
        <v>50</v>
      </c>
      <c r="C56" s="6">
        <f t="shared" si="3"/>
        <v>22.222222222222221</v>
      </c>
      <c r="D56" s="4">
        <v>2</v>
      </c>
      <c r="E56" s="4">
        <v>11.6</v>
      </c>
      <c r="F56" s="4">
        <v>9390</v>
      </c>
      <c r="G56" s="4">
        <v>246000</v>
      </c>
      <c r="H56" s="4">
        <v>82</v>
      </c>
      <c r="I56" s="4">
        <v>12</v>
      </c>
      <c r="J56" s="4">
        <v>6.83</v>
      </c>
      <c r="K56" s="7">
        <v>10.3</v>
      </c>
      <c r="L56" s="7">
        <v>0.99</v>
      </c>
      <c r="M56" s="7">
        <v>30.5</v>
      </c>
      <c r="N56" s="7"/>
      <c r="O56" s="7">
        <v>2.75</v>
      </c>
      <c r="P56" s="8">
        <v>56.6</v>
      </c>
      <c r="Q56" s="7">
        <v>1.57</v>
      </c>
      <c r="R56" s="7">
        <v>31.253</v>
      </c>
      <c r="S56" s="4">
        <v>75</v>
      </c>
      <c r="T56" s="4">
        <v>36</v>
      </c>
      <c r="U56" s="4">
        <v>105</v>
      </c>
      <c r="V56" s="4">
        <v>917</v>
      </c>
      <c r="W56" s="4">
        <v>20.8</v>
      </c>
      <c r="X56" s="4">
        <v>550.4</v>
      </c>
      <c r="Y56" s="10">
        <v>0.41</v>
      </c>
      <c r="Z56" s="4">
        <v>7</v>
      </c>
      <c r="AA56" s="11">
        <v>410.68</v>
      </c>
      <c r="AB56" s="4">
        <v>5.55</v>
      </c>
      <c r="AC56" s="4">
        <v>103.85</v>
      </c>
      <c r="AD56" s="4">
        <v>144.50419005243683</v>
      </c>
      <c r="AE56" s="6">
        <v>1.1907101064555881</v>
      </c>
      <c r="AF56" s="4">
        <v>688.24</v>
      </c>
      <c r="AG56" s="4">
        <v>1.49</v>
      </c>
      <c r="AH56" s="4">
        <v>81.150000000000006</v>
      </c>
      <c r="AI56" s="10"/>
      <c r="AJ56" s="4">
        <v>1</v>
      </c>
      <c r="AK56" s="6">
        <v>17.61965468010342</v>
      </c>
      <c r="AL56" s="4">
        <v>1</v>
      </c>
    </row>
    <row r="57" spans="1:38" ht="14.25" customHeight="1" x14ac:dyDescent="0.35">
      <c r="A57" s="5">
        <v>178</v>
      </c>
      <c r="B57" s="5">
        <v>64</v>
      </c>
      <c r="C57" s="6">
        <f t="shared" si="3"/>
        <v>20.199469763918696</v>
      </c>
      <c r="D57" s="4">
        <v>2</v>
      </c>
      <c r="E57" s="4">
        <v>11.9</v>
      </c>
      <c r="F57" s="4">
        <v>8600</v>
      </c>
      <c r="G57" s="4">
        <v>279000</v>
      </c>
      <c r="H57" s="4">
        <v>76.2</v>
      </c>
      <c r="I57" s="4">
        <v>11</v>
      </c>
      <c r="J57" s="4">
        <v>6.49</v>
      </c>
      <c r="K57" s="7">
        <v>10.4</v>
      </c>
      <c r="L57" s="7">
        <v>1</v>
      </c>
      <c r="M57" s="7">
        <v>24.6</v>
      </c>
      <c r="N57" s="7">
        <v>465.5</v>
      </c>
      <c r="O57" s="7">
        <v>1.34</v>
      </c>
      <c r="P57" s="8">
        <v>17.7</v>
      </c>
      <c r="Q57" s="7">
        <v>0.49</v>
      </c>
      <c r="R57" s="7">
        <v>117.93600000000001</v>
      </c>
      <c r="S57" s="4">
        <v>34</v>
      </c>
      <c r="T57" s="4">
        <v>60</v>
      </c>
      <c r="U57" s="4">
        <v>100</v>
      </c>
      <c r="V57" s="4">
        <v>573</v>
      </c>
      <c r="W57" s="4">
        <v>4.4800000000000004</v>
      </c>
      <c r="X57" s="4">
        <v>229.8</v>
      </c>
      <c r="Y57" s="10">
        <v>0.04</v>
      </c>
      <c r="Z57" s="4"/>
      <c r="AA57" s="11">
        <v>207.62</v>
      </c>
      <c r="AB57" s="4">
        <v>4.57</v>
      </c>
      <c r="AC57" s="4">
        <v>33.35</v>
      </c>
      <c r="AD57" s="4">
        <v>493.91270120571716</v>
      </c>
      <c r="AE57" s="6">
        <v>0.70750830674177867</v>
      </c>
      <c r="AF57" s="4"/>
      <c r="AG57" s="4"/>
      <c r="AH57" s="4"/>
      <c r="AI57" s="10"/>
      <c r="AJ57" s="4">
        <v>0</v>
      </c>
      <c r="AK57" s="6">
        <v>11.659191440508467</v>
      </c>
      <c r="AL57" s="4">
        <v>0</v>
      </c>
    </row>
    <row r="58" spans="1:38" ht="14.25" customHeight="1" x14ac:dyDescent="0.35">
      <c r="A58" s="5">
        <v>145</v>
      </c>
      <c r="B58" s="5">
        <v>45</v>
      </c>
      <c r="C58" s="6">
        <f t="shared" si="3"/>
        <v>21.403091557669441</v>
      </c>
      <c r="D58" s="4">
        <v>2</v>
      </c>
      <c r="E58" s="4">
        <v>10.9</v>
      </c>
      <c r="F58" s="4">
        <v>7830</v>
      </c>
      <c r="G58" s="4">
        <v>203000</v>
      </c>
      <c r="H58" s="4">
        <v>79.599999999999994</v>
      </c>
      <c r="I58" s="4">
        <v>13</v>
      </c>
      <c r="J58" s="4">
        <v>6.11</v>
      </c>
      <c r="K58" s="7">
        <v>10.3</v>
      </c>
      <c r="L58" s="7">
        <v>0.99</v>
      </c>
      <c r="M58" s="7">
        <v>30.8</v>
      </c>
      <c r="N58" s="7"/>
      <c r="O58" s="7">
        <v>0.88</v>
      </c>
      <c r="P58" s="8">
        <v>44.2</v>
      </c>
      <c r="Q58" s="7">
        <v>1.18</v>
      </c>
      <c r="R58" s="7">
        <v>48.021000000000001</v>
      </c>
      <c r="S58" s="4">
        <v>29</v>
      </c>
      <c r="T58" s="4">
        <v>10</v>
      </c>
      <c r="U58" s="4">
        <v>209</v>
      </c>
      <c r="V58" s="4">
        <v>911</v>
      </c>
      <c r="W58" s="4">
        <v>6.92</v>
      </c>
      <c r="X58" s="4">
        <v>10825</v>
      </c>
      <c r="Y58" s="10">
        <v>0.18</v>
      </c>
      <c r="Z58" s="4">
        <v>8.4</v>
      </c>
      <c r="AA58" s="11">
        <v>1141.98</v>
      </c>
      <c r="AB58" s="4">
        <v>6.16</v>
      </c>
      <c r="AC58" s="4">
        <v>11.79</v>
      </c>
      <c r="AD58" s="4">
        <v>956.65120492176584</v>
      </c>
      <c r="AE58" s="6">
        <v>0.78627623763633969</v>
      </c>
      <c r="AF58" s="4">
        <v>491.39</v>
      </c>
      <c r="AG58" s="4">
        <v>1.74</v>
      </c>
      <c r="AH58" s="4">
        <v>92.12</v>
      </c>
      <c r="AI58" s="10"/>
      <c r="AJ58" s="4">
        <v>1</v>
      </c>
      <c r="AK58" s="6">
        <v>15.173691876336829</v>
      </c>
      <c r="AL58" s="4">
        <v>0</v>
      </c>
    </row>
    <row r="59" spans="1:38" ht="14.25" customHeight="1" x14ac:dyDescent="0.35">
      <c r="A59" s="5">
        <v>160</v>
      </c>
      <c r="B59" s="5">
        <v>60</v>
      </c>
      <c r="C59" s="6">
        <f t="shared" si="3"/>
        <v>23.437499999999996</v>
      </c>
      <c r="D59" s="4">
        <v>4</v>
      </c>
      <c r="E59" s="4">
        <v>17.3</v>
      </c>
      <c r="F59" s="4">
        <v>5950</v>
      </c>
      <c r="G59" s="4">
        <v>294000</v>
      </c>
      <c r="H59" s="4">
        <v>60.6</v>
      </c>
      <c r="I59" s="4">
        <v>19.7</v>
      </c>
      <c r="J59" s="4">
        <v>3.07</v>
      </c>
      <c r="K59" s="7">
        <v>10.6</v>
      </c>
      <c r="L59" s="7">
        <v>1.02</v>
      </c>
      <c r="M59" s="7">
        <v>28.4</v>
      </c>
      <c r="N59" s="7">
        <v>480.7</v>
      </c>
      <c r="O59" s="7">
        <v>18.329999999999998</v>
      </c>
      <c r="P59" s="8">
        <v>99</v>
      </c>
      <c r="Q59" s="7">
        <v>3.15</v>
      </c>
      <c r="R59" s="7">
        <v>18.18</v>
      </c>
      <c r="S59" s="4">
        <v>107</v>
      </c>
      <c r="T59" s="4">
        <v>75</v>
      </c>
      <c r="U59" s="4">
        <v>116</v>
      </c>
      <c r="V59" s="4">
        <v>805</v>
      </c>
      <c r="W59" s="4">
        <v>12.72</v>
      </c>
      <c r="X59" s="4">
        <v>712.7</v>
      </c>
      <c r="Y59" s="10">
        <v>0.16</v>
      </c>
      <c r="Z59" s="4"/>
      <c r="AA59" s="11">
        <v>24.9</v>
      </c>
      <c r="AB59" s="4">
        <v>4.43</v>
      </c>
      <c r="AC59" s="4">
        <v>7</v>
      </c>
      <c r="AD59" s="4">
        <v>765.07599648385712</v>
      </c>
      <c r="AE59" s="6">
        <v>3.3225411740712829</v>
      </c>
      <c r="AF59" s="4"/>
      <c r="AG59" s="4"/>
      <c r="AH59" s="4"/>
      <c r="AI59" s="14">
        <v>34.31</v>
      </c>
      <c r="AJ59" s="4">
        <v>0</v>
      </c>
      <c r="AK59" s="6">
        <v>10.692548789549905</v>
      </c>
      <c r="AL59" s="4">
        <v>1</v>
      </c>
    </row>
    <row r="60" spans="1:38" ht="14.25" customHeight="1" x14ac:dyDescent="0.35">
      <c r="A60" s="5">
        <v>168</v>
      </c>
      <c r="B60" s="5">
        <v>89</v>
      </c>
      <c r="C60" s="6">
        <f t="shared" si="3"/>
        <v>31.533446712018144</v>
      </c>
      <c r="D60" s="4">
        <v>2</v>
      </c>
      <c r="E60" s="4">
        <v>13.5</v>
      </c>
      <c r="F60" s="4">
        <v>6900</v>
      </c>
      <c r="G60" s="4">
        <v>146000</v>
      </c>
      <c r="H60" s="4">
        <v>78</v>
      </c>
      <c r="I60" s="4">
        <v>17</v>
      </c>
      <c r="J60" s="4">
        <v>3.26</v>
      </c>
      <c r="K60" s="7">
        <v>9.9</v>
      </c>
      <c r="L60" s="7">
        <v>0.95</v>
      </c>
      <c r="M60" s="7">
        <v>23.4</v>
      </c>
      <c r="N60" s="7"/>
      <c r="O60" s="7">
        <v>0.38</v>
      </c>
      <c r="P60" s="7">
        <v>19.399999999999999</v>
      </c>
      <c r="Q60" s="7">
        <v>1.01</v>
      </c>
      <c r="R60" s="7">
        <v>72.058999999999997</v>
      </c>
      <c r="S60" s="4">
        <v>28</v>
      </c>
      <c r="T60" s="4">
        <v>27</v>
      </c>
      <c r="U60" s="4">
        <v>146</v>
      </c>
      <c r="V60" s="4">
        <v>408</v>
      </c>
      <c r="W60" s="4">
        <v>6.12</v>
      </c>
      <c r="X60" s="4">
        <v>242.7</v>
      </c>
      <c r="Y60" s="10">
        <v>0.2</v>
      </c>
      <c r="Z60" s="4"/>
      <c r="AA60" s="11">
        <v>105.35</v>
      </c>
      <c r="AB60" s="4">
        <v>4.28</v>
      </c>
      <c r="AC60" s="4">
        <v>63.67</v>
      </c>
      <c r="AD60" s="4">
        <v>1688.1846562636367</v>
      </c>
      <c r="AE60" s="6">
        <v>32.213610498600318</v>
      </c>
      <c r="AF60" s="4">
        <v>1002.12</v>
      </c>
      <c r="AG60" s="4">
        <v>1.21</v>
      </c>
      <c r="AH60" s="4">
        <v>146.86000000000001</v>
      </c>
      <c r="AI60" s="10"/>
      <c r="AJ60" s="4">
        <v>0</v>
      </c>
      <c r="AK60" s="6">
        <v>9.7440923718387733</v>
      </c>
      <c r="AL60" s="4">
        <v>0</v>
      </c>
    </row>
    <row r="61" spans="1:38" ht="14.25" customHeight="1" x14ac:dyDescent="0.35">
      <c r="A61" s="5">
        <v>162</v>
      </c>
      <c r="B61" s="5">
        <v>72</v>
      </c>
      <c r="C61" s="6">
        <f t="shared" si="3"/>
        <v>27.434842249657059</v>
      </c>
      <c r="D61" s="4">
        <v>1</v>
      </c>
      <c r="E61" s="4">
        <v>3.2</v>
      </c>
      <c r="F61" s="4">
        <v>8880</v>
      </c>
      <c r="G61" s="4">
        <v>360000</v>
      </c>
      <c r="H61" s="4">
        <v>75.900000000000006</v>
      </c>
      <c r="I61" s="4">
        <v>12.2</v>
      </c>
      <c r="J61" s="4">
        <v>6.24</v>
      </c>
      <c r="K61" s="7">
        <v>10.1</v>
      </c>
      <c r="L61" s="7">
        <v>0.97</v>
      </c>
      <c r="M61" s="7">
        <v>22.8</v>
      </c>
      <c r="N61" s="7">
        <v>398</v>
      </c>
      <c r="O61" s="7">
        <v>1.65</v>
      </c>
      <c r="P61" s="8">
        <v>69.8</v>
      </c>
      <c r="Q61" s="7">
        <v>1.73</v>
      </c>
      <c r="R61" s="7">
        <v>39.133000000000003</v>
      </c>
      <c r="S61" s="4">
        <v>13</v>
      </c>
      <c r="T61" s="4">
        <v>19</v>
      </c>
      <c r="U61" s="4">
        <v>126</v>
      </c>
      <c r="V61" s="4"/>
      <c r="W61" s="4">
        <v>5.75</v>
      </c>
      <c r="X61" s="4">
        <v>12.27</v>
      </c>
      <c r="Y61" s="10">
        <v>3.4</v>
      </c>
      <c r="Z61" s="4"/>
      <c r="AA61" s="11">
        <v>19.600000000000001</v>
      </c>
      <c r="AB61" s="4">
        <v>5.32</v>
      </c>
      <c r="AC61" s="4">
        <v>64.66</v>
      </c>
      <c r="AD61" s="4">
        <v>1218.6811384514442</v>
      </c>
      <c r="AE61" s="6">
        <v>10.169968738849182</v>
      </c>
      <c r="AF61" s="4">
        <v>449.34</v>
      </c>
      <c r="AG61" s="4">
        <v>1.72</v>
      </c>
      <c r="AH61" s="4">
        <v>123.42</v>
      </c>
      <c r="AI61" s="10"/>
      <c r="AJ61" s="4">
        <v>0</v>
      </c>
      <c r="AK61" s="6">
        <v>19.957567227717956</v>
      </c>
      <c r="AL61" s="4">
        <v>0</v>
      </c>
    </row>
    <row r="62" spans="1:38" ht="14.25" customHeight="1" x14ac:dyDescent="0.35">
      <c r="A62" s="5">
        <v>160</v>
      </c>
      <c r="B62" s="5">
        <v>62</v>
      </c>
      <c r="C62" s="6">
        <f t="shared" si="3"/>
        <v>24.218749999999996</v>
      </c>
      <c r="D62" s="4">
        <v>2</v>
      </c>
      <c r="E62" s="4">
        <v>14.1</v>
      </c>
      <c r="F62" s="4">
        <v>3500</v>
      </c>
      <c r="G62" s="4">
        <v>152000</v>
      </c>
      <c r="H62" s="4">
        <v>61.7</v>
      </c>
      <c r="I62" s="4">
        <v>34</v>
      </c>
      <c r="J62" s="4">
        <v>1.82</v>
      </c>
      <c r="K62" s="7">
        <v>11</v>
      </c>
      <c r="L62" s="7">
        <v>1.06</v>
      </c>
      <c r="M62" s="7">
        <v>21.3</v>
      </c>
      <c r="N62" s="7"/>
      <c r="O62" s="7">
        <v>7.36</v>
      </c>
      <c r="P62" s="8">
        <v>8.3000000000000007</v>
      </c>
      <c r="Q62" s="7">
        <v>0.51</v>
      </c>
      <c r="R62" s="7">
        <v>123.7</v>
      </c>
      <c r="S62" s="4">
        <v>44</v>
      </c>
      <c r="T62" s="4">
        <v>30</v>
      </c>
      <c r="U62" s="4">
        <v>248</v>
      </c>
      <c r="V62" s="4">
        <v>1185</v>
      </c>
      <c r="W62" s="4">
        <v>2.41</v>
      </c>
      <c r="X62" s="4">
        <v>777.4</v>
      </c>
      <c r="Y62" s="10">
        <v>0.05</v>
      </c>
      <c r="Z62" s="4"/>
      <c r="AA62" s="11">
        <v>393.1</v>
      </c>
      <c r="AB62" s="4">
        <v>8.18</v>
      </c>
      <c r="AC62" s="4">
        <v>24.56</v>
      </c>
      <c r="AD62" s="4">
        <v>3725.0775697340923</v>
      </c>
      <c r="AE62" s="6">
        <v>56.543337763331543</v>
      </c>
      <c r="AF62" s="4">
        <v>1023.73</v>
      </c>
      <c r="AG62" s="4">
        <v>3.27</v>
      </c>
      <c r="AH62" s="4">
        <v>147.47999999999999</v>
      </c>
      <c r="AI62" s="10"/>
      <c r="AJ62" s="4">
        <v>1</v>
      </c>
      <c r="AK62" s="6">
        <v>22.541873848051306</v>
      </c>
      <c r="AL62" s="4">
        <v>0</v>
      </c>
    </row>
    <row r="63" spans="1:38" ht="14.25" customHeight="1" x14ac:dyDescent="0.35">
      <c r="A63" s="5">
        <v>155</v>
      </c>
      <c r="B63" s="5">
        <v>85</v>
      </c>
      <c r="C63" s="6">
        <f t="shared" si="3"/>
        <v>35.379812695109258</v>
      </c>
      <c r="D63" s="4">
        <v>4</v>
      </c>
      <c r="E63" s="4">
        <v>13.8</v>
      </c>
      <c r="F63" s="4">
        <v>9820</v>
      </c>
      <c r="G63" s="4">
        <v>198000</v>
      </c>
      <c r="H63" s="4">
        <v>85</v>
      </c>
      <c r="I63" s="4">
        <v>12.8</v>
      </c>
      <c r="J63" s="4">
        <v>6.62</v>
      </c>
      <c r="K63" s="7">
        <v>10.1</v>
      </c>
      <c r="L63" s="7">
        <v>0.97</v>
      </c>
      <c r="M63" s="7">
        <v>28.1</v>
      </c>
      <c r="N63" s="7"/>
      <c r="O63" s="7">
        <v>0.77</v>
      </c>
      <c r="P63" s="8">
        <v>11.4</v>
      </c>
      <c r="Q63" s="7">
        <v>0.94</v>
      </c>
      <c r="R63" s="7">
        <v>75.8</v>
      </c>
      <c r="S63" s="4">
        <v>148</v>
      </c>
      <c r="T63" s="4">
        <v>70</v>
      </c>
      <c r="U63" s="4">
        <v>228</v>
      </c>
      <c r="V63" s="4">
        <v>1066</v>
      </c>
      <c r="W63" s="4">
        <v>16.899999999999999</v>
      </c>
      <c r="X63" s="4">
        <v>813.3</v>
      </c>
      <c r="Y63" s="10">
        <v>0.46</v>
      </c>
      <c r="Z63" s="4">
        <v>9.3000000000000007</v>
      </c>
      <c r="AA63" s="11">
        <v>100.48</v>
      </c>
      <c r="AB63" s="4">
        <v>8.09</v>
      </c>
      <c r="AC63" s="4">
        <v>49.19</v>
      </c>
      <c r="AD63" s="4">
        <v>831.95142306955881</v>
      </c>
      <c r="AE63" s="6">
        <v>0.65109631543674251</v>
      </c>
      <c r="AF63" s="4">
        <v>378.48</v>
      </c>
      <c r="AG63" s="4">
        <v>11.9</v>
      </c>
      <c r="AH63" s="4">
        <v>110.21</v>
      </c>
      <c r="AI63" s="10">
        <v>56.49</v>
      </c>
      <c r="AJ63" s="4">
        <v>1</v>
      </c>
      <c r="AK63" s="6">
        <v>19.051088962986313</v>
      </c>
      <c r="AL63" s="4">
        <v>1</v>
      </c>
    </row>
    <row r="64" spans="1:38" ht="14.25" customHeight="1" x14ac:dyDescent="0.35">
      <c r="A64" s="5"/>
      <c r="B64" s="5"/>
      <c r="C64" s="6"/>
      <c r="D64" s="4">
        <v>1</v>
      </c>
      <c r="E64" s="4">
        <v>12.3</v>
      </c>
      <c r="F64" s="4">
        <v>9160</v>
      </c>
      <c r="G64" s="4">
        <v>247000</v>
      </c>
      <c r="H64" s="4">
        <v>80.2</v>
      </c>
      <c r="I64" s="4">
        <v>12.3</v>
      </c>
      <c r="J64" s="4">
        <v>6.5</v>
      </c>
      <c r="K64" s="7">
        <v>10.5</v>
      </c>
      <c r="L64" s="7">
        <v>1.01</v>
      </c>
      <c r="M64" s="7">
        <v>20.6</v>
      </c>
      <c r="N64" s="7">
        <v>337.6</v>
      </c>
      <c r="O64" s="7">
        <v>1.89</v>
      </c>
      <c r="P64" s="8">
        <v>26.9</v>
      </c>
      <c r="Q64" s="7">
        <v>0.84</v>
      </c>
      <c r="R64" s="7">
        <v>76.611000000000004</v>
      </c>
      <c r="S64" s="4">
        <v>17</v>
      </c>
      <c r="T64" s="4">
        <v>16</v>
      </c>
      <c r="U64" s="4">
        <v>104</v>
      </c>
      <c r="V64" s="4"/>
      <c r="W64" s="4">
        <v>1.49</v>
      </c>
      <c r="X64" s="4">
        <v>269.2</v>
      </c>
      <c r="Y64" s="10">
        <v>0.83</v>
      </c>
      <c r="Z64" s="4">
        <v>4.5999999999999996</v>
      </c>
      <c r="AA64" s="11">
        <v>39.630000000000003</v>
      </c>
      <c r="AB64" s="4">
        <v>4.6500000000000004</v>
      </c>
      <c r="AC64" s="4">
        <v>15.7</v>
      </c>
      <c r="AD64" s="4">
        <v>977.6624761946216</v>
      </c>
      <c r="AE64" s="6">
        <v>1.1907101064555881</v>
      </c>
      <c r="AF64" s="4"/>
      <c r="AG64" s="4"/>
      <c r="AH64" s="4"/>
      <c r="AI64" s="10"/>
      <c r="AJ64" s="4">
        <v>0</v>
      </c>
      <c r="AK64" s="6">
        <v>11.985291008449572</v>
      </c>
      <c r="AL64" s="4">
        <v>0</v>
      </c>
    </row>
    <row r="65" spans="1:38" ht="14.25" customHeight="1" x14ac:dyDescent="0.35">
      <c r="A65" s="5"/>
      <c r="B65" s="5"/>
      <c r="C65" s="6"/>
      <c r="D65" s="4">
        <v>2</v>
      </c>
      <c r="E65" s="4">
        <v>15.4</v>
      </c>
      <c r="F65" s="4">
        <v>6960</v>
      </c>
      <c r="G65" s="4">
        <v>265000</v>
      </c>
      <c r="H65" s="4">
        <v>66.7</v>
      </c>
      <c r="I65" s="4">
        <v>26.3</v>
      </c>
      <c r="J65" s="4">
        <v>2.54</v>
      </c>
      <c r="K65" s="7">
        <v>10</v>
      </c>
      <c r="L65" s="7">
        <v>0.96</v>
      </c>
      <c r="M65" s="7">
        <v>26</v>
      </c>
      <c r="N65" s="7"/>
      <c r="O65" s="7">
        <v>0.41</v>
      </c>
      <c r="P65" s="8">
        <v>25.7</v>
      </c>
      <c r="Q65" s="7">
        <v>0.72</v>
      </c>
      <c r="R65" s="7">
        <v>93.611999999999995</v>
      </c>
      <c r="S65" s="4">
        <v>49</v>
      </c>
      <c r="T65" s="4">
        <v>36</v>
      </c>
      <c r="U65" s="4">
        <v>245</v>
      </c>
      <c r="V65" s="4"/>
      <c r="W65" s="4">
        <v>3.16</v>
      </c>
      <c r="X65" s="4">
        <v>616.5</v>
      </c>
      <c r="Y65" s="10">
        <v>0.1</v>
      </c>
      <c r="Z65" s="4">
        <v>12.3</v>
      </c>
      <c r="AA65" s="11">
        <v>47.16</v>
      </c>
      <c r="AB65" s="4">
        <v>4.72</v>
      </c>
      <c r="AC65" s="4">
        <v>189.04</v>
      </c>
      <c r="AD65" s="4">
        <v>6717.9531461897468</v>
      </c>
      <c r="AE65" s="6">
        <v>98.654976416748482</v>
      </c>
      <c r="AF65" s="4">
        <v>1466.33</v>
      </c>
      <c r="AG65" s="4">
        <v>7.82</v>
      </c>
      <c r="AH65" s="4">
        <v>339.45</v>
      </c>
      <c r="AI65" s="10"/>
      <c r="AJ65" s="4">
        <v>1</v>
      </c>
      <c r="AK65" s="6">
        <v>13.475730135897532</v>
      </c>
      <c r="AL65" s="4">
        <v>0</v>
      </c>
    </row>
    <row r="66" spans="1:38" ht="14.25" customHeight="1" x14ac:dyDescent="0.35">
      <c r="A66" s="5">
        <v>160</v>
      </c>
      <c r="B66" s="5">
        <v>83</v>
      </c>
      <c r="C66" s="6">
        <f>(B66/(A66/100)^2)</f>
        <v>32.421874999999993</v>
      </c>
      <c r="D66" s="4">
        <v>4</v>
      </c>
      <c r="E66" s="4">
        <v>15.7</v>
      </c>
      <c r="F66" s="4">
        <v>7280</v>
      </c>
      <c r="G66" s="4">
        <v>187000</v>
      </c>
      <c r="H66" s="4">
        <v>76.8</v>
      </c>
      <c r="I66" s="4">
        <v>19.100000000000001</v>
      </c>
      <c r="J66" s="4">
        <v>4.0199999999999996</v>
      </c>
      <c r="K66" s="7">
        <v>10.1</v>
      </c>
      <c r="L66" s="7">
        <v>0.97</v>
      </c>
      <c r="M66" s="7">
        <v>27</v>
      </c>
      <c r="N66" s="7">
        <v>348.5</v>
      </c>
      <c r="O66" s="7">
        <v>1.1499999999999999</v>
      </c>
      <c r="P66" s="8">
        <v>47.7</v>
      </c>
      <c r="Q66" s="7">
        <v>1.23</v>
      </c>
      <c r="R66" s="7">
        <v>46.9</v>
      </c>
      <c r="S66" s="4">
        <v>78</v>
      </c>
      <c r="T66" s="4">
        <v>37</v>
      </c>
      <c r="U66" s="4">
        <v>151</v>
      </c>
      <c r="V66" s="4">
        <v>522</v>
      </c>
      <c r="W66" s="4">
        <v>2.0699999999999998</v>
      </c>
      <c r="X66" s="4">
        <v>1508</v>
      </c>
      <c r="Y66" s="10">
        <v>0.14000000000000001</v>
      </c>
      <c r="Z66" s="4">
        <v>5.7</v>
      </c>
      <c r="AA66" s="11">
        <v>269.5</v>
      </c>
      <c r="AB66" s="4">
        <v>8.09</v>
      </c>
      <c r="AC66" s="4">
        <v>30.49</v>
      </c>
      <c r="AD66" s="4">
        <v>3383.3763930098071</v>
      </c>
      <c r="AE66" s="6">
        <v>95.690822370060417</v>
      </c>
      <c r="AF66" s="4">
        <v>1002.12</v>
      </c>
      <c r="AG66" s="4">
        <v>2.72</v>
      </c>
      <c r="AH66" s="4">
        <v>204.93</v>
      </c>
      <c r="AI66" s="14">
        <v>80.12</v>
      </c>
      <c r="AJ66" s="4">
        <v>1</v>
      </c>
      <c r="AK66" s="6">
        <v>22.728984316971331</v>
      </c>
      <c r="AL66" s="4">
        <v>0</v>
      </c>
    </row>
    <row r="67" spans="1:38" ht="14.25" customHeight="1" x14ac:dyDescent="0.35">
      <c r="A67" s="5">
        <v>160</v>
      </c>
      <c r="B67" s="5">
        <v>80</v>
      </c>
      <c r="C67" s="6">
        <f>(B67/(A67/100)^2)</f>
        <v>31.249999999999993</v>
      </c>
      <c r="D67" s="4">
        <v>3</v>
      </c>
      <c r="E67" s="4">
        <v>13.8</v>
      </c>
      <c r="F67" s="4">
        <v>6700</v>
      </c>
      <c r="G67" s="4">
        <v>265000</v>
      </c>
      <c r="H67" s="4">
        <v>64.8</v>
      </c>
      <c r="I67" s="4">
        <v>16.3</v>
      </c>
      <c r="J67" s="4">
        <v>3.98</v>
      </c>
      <c r="K67" s="7">
        <v>10.8</v>
      </c>
      <c r="L67" s="7">
        <v>1.04</v>
      </c>
      <c r="M67" s="7">
        <v>26.1</v>
      </c>
      <c r="N67" s="7">
        <v>332.4</v>
      </c>
      <c r="O67" s="7">
        <v>0.72</v>
      </c>
      <c r="P67" s="8">
        <v>46.1</v>
      </c>
      <c r="Q67" s="7">
        <v>1.0900000000000001</v>
      </c>
      <c r="R67" s="7">
        <v>51.75</v>
      </c>
      <c r="S67" s="4">
        <v>32</v>
      </c>
      <c r="T67" s="4">
        <v>29</v>
      </c>
      <c r="U67" s="4">
        <v>141</v>
      </c>
      <c r="V67" s="4"/>
      <c r="W67" s="4">
        <v>0.84</v>
      </c>
      <c r="X67" s="4">
        <v>150.5</v>
      </c>
      <c r="Y67" s="10">
        <v>0.56999999999999995</v>
      </c>
      <c r="Z67" s="4">
        <v>7.32</v>
      </c>
      <c r="AA67" s="11">
        <v>136.59</v>
      </c>
      <c r="AB67" s="4">
        <v>7.11</v>
      </c>
      <c r="AC67" s="4">
        <v>97.33</v>
      </c>
      <c r="AD67" s="4">
        <v>757.98544509532576</v>
      </c>
      <c r="AE67" s="6">
        <v>113.67890220457555</v>
      </c>
      <c r="AF67" s="4">
        <v>555.36</v>
      </c>
      <c r="AG67" s="4">
        <v>4.38</v>
      </c>
      <c r="AH67" s="4">
        <v>188.01</v>
      </c>
      <c r="AI67" s="14">
        <v>143.19999999999999</v>
      </c>
      <c r="AJ67" s="4">
        <v>1</v>
      </c>
      <c r="AK67" s="6">
        <v>1.0843847407330869</v>
      </c>
      <c r="AL67" s="4">
        <v>0</v>
      </c>
    </row>
    <row r="68" spans="1:38" ht="14.25" customHeight="1" x14ac:dyDescent="0.35">
      <c r="A68" s="5">
        <v>165</v>
      </c>
      <c r="B68" s="5">
        <v>67</v>
      </c>
      <c r="C68" s="6">
        <f>(B68/(A68/100)^2)</f>
        <v>24.609733700642796</v>
      </c>
      <c r="D68" s="4">
        <v>2</v>
      </c>
      <c r="E68" s="4">
        <v>13.4</v>
      </c>
      <c r="F68" s="4">
        <v>4720</v>
      </c>
      <c r="G68" s="4">
        <v>136000</v>
      </c>
      <c r="H68" s="4">
        <v>64.7</v>
      </c>
      <c r="I68" s="4">
        <v>22.2</v>
      </c>
      <c r="J68" s="4">
        <v>2.9</v>
      </c>
      <c r="K68" s="7">
        <v>11.4</v>
      </c>
      <c r="L68" s="7">
        <v>1.1000000000000001</v>
      </c>
      <c r="M68" s="7">
        <v>27.1</v>
      </c>
      <c r="N68" s="7">
        <v>346.5</v>
      </c>
      <c r="O68" s="7">
        <v>0.35</v>
      </c>
      <c r="P68" s="8">
        <v>34.299999999999997</v>
      </c>
      <c r="Q68" s="7">
        <v>1.2</v>
      </c>
      <c r="R68" s="7">
        <v>62.6</v>
      </c>
      <c r="S68" s="4">
        <v>39</v>
      </c>
      <c r="T68" s="4">
        <v>22</v>
      </c>
      <c r="U68" s="4">
        <v>168</v>
      </c>
      <c r="V68" s="4">
        <v>313</v>
      </c>
      <c r="W68" s="4">
        <v>1.65</v>
      </c>
      <c r="X68" s="4">
        <v>1399</v>
      </c>
      <c r="Y68" s="10">
        <v>0.12</v>
      </c>
      <c r="Z68" s="4">
        <v>6.3</v>
      </c>
      <c r="AA68" s="11">
        <v>223.78</v>
      </c>
      <c r="AB68" s="4">
        <v>6.16</v>
      </c>
      <c r="AC68" s="4">
        <v>230.8</v>
      </c>
      <c r="AD68" s="4">
        <v>16169.390082394004</v>
      </c>
      <c r="AE68" s="6">
        <v>352.64929233118698</v>
      </c>
      <c r="AF68" s="4">
        <v>5653.18</v>
      </c>
      <c r="AG68" s="4">
        <v>6.7</v>
      </c>
      <c r="AH68" s="4">
        <v>888.51</v>
      </c>
      <c r="AI68" s="10"/>
      <c r="AJ68" s="4">
        <v>1</v>
      </c>
      <c r="AK68" s="6">
        <v>11.496860272787149</v>
      </c>
      <c r="AL68" s="4">
        <v>1</v>
      </c>
    </row>
    <row r="69" spans="1:38" ht="14.25" customHeight="1" x14ac:dyDescent="0.35">
      <c r="A69" s="5"/>
      <c r="B69" s="5"/>
      <c r="C69" s="6"/>
      <c r="D69" s="4">
        <v>2</v>
      </c>
      <c r="E69" s="4">
        <v>14.9</v>
      </c>
      <c r="F69" s="4">
        <v>4390</v>
      </c>
      <c r="G69" s="4">
        <v>164000</v>
      </c>
      <c r="H69" s="4">
        <v>54</v>
      </c>
      <c r="I69" s="4">
        <v>35.299999999999997</v>
      </c>
      <c r="J69" s="4">
        <v>1.53</v>
      </c>
      <c r="K69" s="7">
        <v>9.9</v>
      </c>
      <c r="L69" s="7">
        <v>0.95</v>
      </c>
      <c r="M69" s="7">
        <v>26.2</v>
      </c>
      <c r="N69" s="7">
        <v>398</v>
      </c>
      <c r="O69" s="7">
        <v>0.4</v>
      </c>
      <c r="P69" s="8">
        <v>25.2</v>
      </c>
      <c r="Q69" s="7">
        <v>0.9</v>
      </c>
      <c r="R69" s="7">
        <v>99.2</v>
      </c>
      <c r="S69" s="4">
        <v>31</v>
      </c>
      <c r="T69" s="4">
        <v>24</v>
      </c>
      <c r="U69" s="4">
        <v>327</v>
      </c>
      <c r="V69" s="4">
        <v>328</v>
      </c>
      <c r="W69" s="4">
        <v>1.72</v>
      </c>
      <c r="X69" s="4">
        <v>570.5</v>
      </c>
      <c r="Y69" s="10">
        <v>0.28000000000000003</v>
      </c>
      <c r="Z69" s="4"/>
      <c r="AA69" s="11">
        <v>36.78</v>
      </c>
      <c r="AB69" s="4">
        <v>8.68</v>
      </c>
      <c r="AC69" s="4">
        <v>47.99</v>
      </c>
      <c r="AD69" s="4">
        <v>1017.9154150159435</v>
      </c>
      <c r="AE69" s="6">
        <v>27.685405729686543</v>
      </c>
      <c r="AF69" s="4">
        <v>20.190000000000001</v>
      </c>
      <c r="AG69" s="4">
        <v>2.37</v>
      </c>
      <c r="AH69" s="4">
        <v>86.84</v>
      </c>
      <c r="AI69" s="10">
        <v>22.5</v>
      </c>
      <c r="AJ69" s="4">
        <v>1</v>
      </c>
      <c r="AK69" s="6">
        <v>17.265539816571906</v>
      </c>
      <c r="AL69" s="4">
        <v>0</v>
      </c>
    </row>
    <row r="70" spans="1:38" ht="14.25" customHeight="1" x14ac:dyDescent="0.35">
      <c r="A70" s="5">
        <v>162</v>
      </c>
      <c r="B70" s="5">
        <v>66</v>
      </c>
      <c r="C70" s="6">
        <f t="shared" ref="C70:C82" si="4">(B70/(A70/100)^2)</f>
        <v>25.14860539551897</v>
      </c>
      <c r="D70" s="4">
        <v>2</v>
      </c>
      <c r="E70" s="4">
        <v>15.8</v>
      </c>
      <c r="F70" s="4">
        <v>3040</v>
      </c>
      <c r="G70" s="4">
        <v>137000</v>
      </c>
      <c r="H70" s="4">
        <v>48.1</v>
      </c>
      <c r="I70" s="4">
        <v>44.7</v>
      </c>
      <c r="J70" s="4">
        <v>1.07</v>
      </c>
      <c r="K70" s="7">
        <v>10.3</v>
      </c>
      <c r="L70" s="7">
        <v>0.99</v>
      </c>
      <c r="M70" s="7">
        <v>28.3</v>
      </c>
      <c r="N70" s="7">
        <v>411.9</v>
      </c>
      <c r="O70" s="7">
        <v>0.55000000000000004</v>
      </c>
      <c r="P70" s="8">
        <v>27.6</v>
      </c>
      <c r="Q70" s="7">
        <v>1.1499999999999999</v>
      </c>
      <c r="R70" s="7">
        <v>67.8</v>
      </c>
      <c r="S70" s="4">
        <v>42</v>
      </c>
      <c r="T70" s="4">
        <v>21</v>
      </c>
      <c r="U70" s="4">
        <v>205</v>
      </c>
      <c r="V70" s="4"/>
      <c r="W70" s="4">
        <v>1.56</v>
      </c>
      <c r="X70" s="4">
        <v>2542</v>
      </c>
      <c r="Y70" s="10">
        <v>0.1</v>
      </c>
      <c r="Z70" s="4"/>
      <c r="AA70" s="11">
        <v>87.62</v>
      </c>
      <c r="AB70" s="4">
        <v>9.18</v>
      </c>
      <c r="AC70" s="4">
        <v>238.97</v>
      </c>
      <c r="AD70" s="4">
        <v>3468.4348568602641</v>
      </c>
      <c r="AE70" s="6">
        <v>240.72972833029544</v>
      </c>
      <c r="AF70" s="4">
        <v>5245.38</v>
      </c>
      <c r="AG70" s="4">
        <v>9.36</v>
      </c>
      <c r="AH70" s="4">
        <v>1387.3</v>
      </c>
      <c r="AI70" s="10"/>
      <c r="AJ70" s="4">
        <v>1</v>
      </c>
      <c r="AK70" s="6">
        <v>28.095561825522594</v>
      </c>
      <c r="AL70" s="4">
        <v>0</v>
      </c>
    </row>
    <row r="71" spans="1:38" ht="14.25" customHeight="1" x14ac:dyDescent="0.35">
      <c r="A71" s="5">
        <v>155</v>
      </c>
      <c r="B71" s="5">
        <v>58</v>
      </c>
      <c r="C71" s="6">
        <f t="shared" si="4"/>
        <v>24.141519250780433</v>
      </c>
      <c r="D71" s="4">
        <v>2</v>
      </c>
      <c r="E71" s="4">
        <v>13.9</v>
      </c>
      <c r="F71" s="4">
        <v>3340</v>
      </c>
      <c r="G71" s="4">
        <v>142000</v>
      </c>
      <c r="H71" s="4">
        <v>75.099999999999994</v>
      </c>
      <c r="I71" s="4">
        <v>19.2</v>
      </c>
      <c r="J71" s="4">
        <v>3.92</v>
      </c>
      <c r="K71" s="7">
        <v>10.3</v>
      </c>
      <c r="L71" s="7">
        <v>0.99</v>
      </c>
      <c r="M71" s="7">
        <v>22.6</v>
      </c>
      <c r="N71" s="7">
        <v>411.2</v>
      </c>
      <c r="O71" s="7">
        <v>1.48</v>
      </c>
      <c r="P71" s="8">
        <v>41.5</v>
      </c>
      <c r="Q71" s="7">
        <v>0.7</v>
      </c>
      <c r="R71" s="7">
        <v>102.4</v>
      </c>
      <c r="S71" s="4">
        <v>55</v>
      </c>
      <c r="T71" s="4">
        <v>65</v>
      </c>
      <c r="U71" s="4">
        <v>612</v>
      </c>
      <c r="V71" s="4"/>
      <c r="W71" s="4">
        <v>6.42</v>
      </c>
      <c r="X71" s="4"/>
      <c r="Y71" s="10">
        <v>0.12</v>
      </c>
      <c r="Z71" s="4">
        <v>11.6</v>
      </c>
      <c r="AA71" s="11">
        <v>50.69</v>
      </c>
      <c r="AB71" s="4">
        <v>8.34</v>
      </c>
      <c r="AC71" s="4">
        <v>41.29</v>
      </c>
      <c r="AD71" s="4">
        <v>996.0390543715547</v>
      </c>
      <c r="AE71" s="6">
        <v>23.917845477640551</v>
      </c>
      <c r="AF71" s="4">
        <v>501.29</v>
      </c>
      <c r="AG71" s="4">
        <v>3.18</v>
      </c>
      <c r="AH71" s="4">
        <v>94.79</v>
      </c>
      <c r="AI71" s="10"/>
      <c r="AJ71" s="4">
        <v>1</v>
      </c>
      <c r="AK71" s="6">
        <v>19.957567227717956</v>
      </c>
      <c r="AL71" s="4">
        <v>0</v>
      </c>
    </row>
    <row r="72" spans="1:38" ht="14.25" customHeight="1" x14ac:dyDescent="0.35">
      <c r="A72" s="5">
        <v>165</v>
      </c>
      <c r="B72" s="5">
        <v>60</v>
      </c>
      <c r="C72" s="6">
        <f t="shared" si="4"/>
        <v>22.03856749311295</v>
      </c>
      <c r="D72" s="4">
        <v>1</v>
      </c>
      <c r="E72" s="4">
        <v>15.7</v>
      </c>
      <c r="F72" s="4">
        <v>8050</v>
      </c>
      <c r="G72" s="4">
        <v>211000</v>
      </c>
      <c r="H72" s="4">
        <v>83.1</v>
      </c>
      <c r="I72" s="4">
        <v>9.1999999999999993</v>
      </c>
      <c r="J72" s="4">
        <v>9.0399999999999991</v>
      </c>
      <c r="K72" s="7">
        <v>10.3</v>
      </c>
      <c r="L72" s="7">
        <v>0.99</v>
      </c>
      <c r="M72" s="7">
        <v>26.6</v>
      </c>
      <c r="N72" s="7"/>
      <c r="O72" s="7">
        <v>0.22</v>
      </c>
      <c r="P72" s="8">
        <v>21.6</v>
      </c>
      <c r="Q72" s="7">
        <v>1.01</v>
      </c>
      <c r="R72" s="7">
        <v>91.314999999999998</v>
      </c>
      <c r="S72" s="4">
        <v>29</v>
      </c>
      <c r="T72" s="4">
        <v>27</v>
      </c>
      <c r="U72" s="4">
        <v>273</v>
      </c>
      <c r="V72" s="4">
        <v>923</v>
      </c>
      <c r="W72" s="4">
        <v>6.34</v>
      </c>
      <c r="X72" s="4">
        <v>1009</v>
      </c>
      <c r="Y72" s="10">
        <v>0.16</v>
      </c>
      <c r="Z72" s="4"/>
      <c r="AA72" s="11">
        <v>63.91</v>
      </c>
      <c r="AB72" s="4">
        <v>111.1</v>
      </c>
      <c r="AC72" s="4">
        <v>32.04</v>
      </c>
      <c r="AD72" s="4">
        <v>721.26425836620353</v>
      </c>
      <c r="AE72" s="6">
        <v>35.374830809373861</v>
      </c>
      <c r="AF72" s="4">
        <v>306.77999999999997</v>
      </c>
      <c r="AG72" s="4">
        <v>1.53</v>
      </c>
      <c r="AH72" s="4">
        <v>122.83</v>
      </c>
      <c r="AI72" s="10"/>
      <c r="AJ72" s="4">
        <v>1</v>
      </c>
      <c r="AK72" s="6">
        <v>11.659191440508467</v>
      </c>
      <c r="AL72" s="4">
        <v>0</v>
      </c>
    </row>
    <row r="73" spans="1:38" ht="14.25" customHeight="1" x14ac:dyDescent="0.35">
      <c r="A73" s="5">
        <v>160</v>
      </c>
      <c r="B73" s="5">
        <v>90</v>
      </c>
      <c r="C73" s="6">
        <f t="shared" si="4"/>
        <v>35.156249999999993</v>
      </c>
      <c r="D73" s="4">
        <v>4</v>
      </c>
      <c r="E73" s="4">
        <v>14.4</v>
      </c>
      <c r="F73" s="4">
        <v>8840</v>
      </c>
      <c r="G73" s="4">
        <v>247000</v>
      </c>
      <c r="H73" s="4">
        <v>89.9</v>
      </c>
      <c r="I73" s="4">
        <v>6.8</v>
      </c>
      <c r="J73" s="4">
        <v>13.25</v>
      </c>
      <c r="K73" s="7">
        <v>12.7</v>
      </c>
      <c r="L73" s="7">
        <v>1.24</v>
      </c>
      <c r="M73" s="7">
        <v>26.6</v>
      </c>
      <c r="N73" s="7"/>
      <c r="O73" s="7">
        <v>3.88</v>
      </c>
      <c r="P73" s="8">
        <v>33.1</v>
      </c>
      <c r="Q73" s="7">
        <v>0.8</v>
      </c>
      <c r="R73" s="7">
        <v>75.2</v>
      </c>
      <c r="S73" s="4">
        <v>72</v>
      </c>
      <c r="T73" s="4">
        <v>38</v>
      </c>
      <c r="U73" s="4">
        <v>131</v>
      </c>
      <c r="V73" s="4"/>
      <c r="W73" s="4">
        <v>2.75</v>
      </c>
      <c r="X73" s="4">
        <v>1318</v>
      </c>
      <c r="Y73" s="10">
        <v>0.25</v>
      </c>
      <c r="Z73" s="4">
        <v>6.8</v>
      </c>
      <c r="AA73" s="11">
        <v>60.87</v>
      </c>
      <c r="AB73" s="4">
        <v>6.08</v>
      </c>
      <c r="AC73" s="4">
        <v>52.53</v>
      </c>
      <c r="AD73" s="4">
        <v>1033.8349462652088</v>
      </c>
      <c r="AE73" s="6">
        <v>43.692608846975673</v>
      </c>
      <c r="AF73" s="4"/>
      <c r="AG73" s="4"/>
      <c r="AH73" s="4"/>
      <c r="AI73" s="10">
        <v>110.5</v>
      </c>
      <c r="AJ73" s="4">
        <v>0</v>
      </c>
      <c r="AK73" s="6">
        <v>12.974821034713276</v>
      </c>
      <c r="AL73" s="4">
        <v>1</v>
      </c>
    </row>
    <row r="74" spans="1:38" ht="14.25" customHeight="1" x14ac:dyDescent="0.35">
      <c r="A74" s="5">
        <v>160</v>
      </c>
      <c r="B74" s="5">
        <v>64</v>
      </c>
      <c r="C74" s="6">
        <f t="shared" si="4"/>
        <v>24.999999999999996</v>
      </c>
      <c r="D74" s="4">
        <v>1</v>
      </c>
      <c r="E74" s="4">
        <v>16.399999999999999</v>
      </c>
      <c r="F74" s="4">
        <v>8700</v>
      </c>
      <c r="G74" s="4">
        <v>241000</v>
      </c>
      <c r="H74" s="4">
        <v>68.599999999999994</v>
      </c>
      <c r="I74" s="4">
        <v>19.7</v>
      </c>
      <c r="J74" s="4">
        <v>3.97</v>
      </c>
      <c r="K74" s="7">
        <v>10.8</v>
      </c>
      <c r="L74" s="7">
        <v>1.04</v>
      </c>
      <c r="M74" s="7">
        <v>27.2</v>
      </c>
      <c r="N74" s="7"/>
      <c r="O74" s="7">
        <v>0.19</v>
      </c>
      <c r="P74" s="8">
        <v>13.7</v>
      </c>
      <c r="Q74" s="7">
        <v>1.1100000000000001</v>
      </c>
      <c r="R74" s="7">
        <v>81.459999999999994</v>
      </c>
      <c r="S74" s="4">
        <v>18</v>
      </c>
      <c r="T74" s="4">
        <v>21</v>
      </c>
      <c r="U74" s="4">
        <v>166</v>
      </c>
      <c r="V74" s="4"/>
      <c r="W74" s="4"/>
      <c r="X74" s="4"/>
      <c r="Y74" s="10"/>
      <c r="Z74" s="4"/>
      <c r="AA74" s="11">
        <v>831.87</v>
      </c>
      <c r="AB74" s="4">
        <v>7.44</v>
      </c>
      <c r="AC74" s="4">
        <v>64.989999999999995</v>
      </c>
      <c r="AD74" s="4">
        <v>1662.1891059226409</v>
      </c>
      <c r="AE74" s="6">
        <v>51.924418925713262</v>
      </c>
      <c r="AF74" s="4"/>
      <c r="AG74" s="4"/>
      <c r="AH74" s="4"/>
      <c r="AI74" s="10"/>
      <c r="AJ74" s="4">
        <v>0</v>
      </c>
      <c r="AK74" s="6">
        <v>88.86028553999526</v>
      </c>
      <c r="AL74" s="4">
        <v>0</v>
      </c>
    </row>
    <row r="75" spans="1:38" ht="14.25" customHeight="1" x14ac:dyDescent="0.35">
      <c r="A75" s="5">
        <v>150</v>
      </c>
      <c r="B75" s="5">
        <v>55</v>
      </c>
      <c r="C75" s="6">
        <f t="shared" si="4"/>
        <v>24.444444444444443</v>
      </c>
      <c r="D75" s="4">
        <v>2</v>
      </c>
      <c r="E75" s="4">
        <v>6.5</v>
      </c>
      <c r="F75" s="4">
        <v>2300</v>
      </c>
      <c r="G75" s="4">
        <v>27000</v>
      </c>
      <c r="H75" s="4">
        <v>40</v>
      </c>
      <c r="I75" s="4">
        <v>25</v>
      </c>
      <c r="J75" s="4">
        <v>1.5</v>
      </c>
      <c r="K75" s="7">
        <v>12.1</v>
      </c>
      <c r="L75" s="7">
        <v>1.18</v>
      </c>
      <c r="M75" s="7">
        <v>23.7</v>
      </c>
      <c r="N75" s="7">
        <v>266.3</v>
      </c>
      <c r="O75" s="7">
        <v>35.200000000000003</v>
      </c>
      <c r="P75" s="8">
        <v>37.1</v>
      </c>
      <c r="Q75" s="7">
        <v>0.88</v>
      </c>
      <c r="R75" s="7">
        <v>77.147999999999996</v>
      </c>
      <c r="S75" s="4">
        <v>24</v>
      </c>
      <c r="T75" s="4">
        <v>18</v>
      </c>
      <c r="U75" s="4">
        <v>137</v>
      </c>
      <c r="V75" s="4">
        <v>12.1</v>
      </c>
      <c r="W75" s="4">
        <v>8.6999999999999993</v>
      </c>
      <c r="X75" s="4"/>
      <c r="Y75" s="10">
        <v>0.3</v>
      </c>
      <c r="Z75" s="4"/>
      <c r="AA75" s="11">
        <v>214.42</v>
      </c>
      <c r="AB75" s="4">
        <v>6.16</v>
      </c>
      <c r="AC75" s="4">
        <v>120.14</v>
      </c>
      <c r="AD75" s="4">
        <v>5989.1410882336386</v>
      </c>
      <c r="AE75" s="6">
        <v>66.18046602840171</v>
      </c>
      <c r="AF75" s="4"/>
      <c r="AG75" s="4"/>
      <c r="AH75" s="4"/>
      <c r="AI75" s="10"/>
      <c r="AJ75" s="4">
        <v>0</v>
      </c>
      <c r="AK75" s="6">
        <v>17.442406821733286</v>
      </c>
      <c r="AL75" s="4">
        <v>1</v>
      </c>
    </row>
    <row r="76" spans="1:38" ht="14.25" customHeight="1" x14ac:dyDescent="0.35">
      <c r="A76" s="5">
        <v>165</v>
      </c>
      <c r="B76" s="5">
        <v>68</v>
      </c>
      <c r="C76" s="6">
        <f t="shared" si="4"/>
        <v>24.977043158861342</v>
      </c>
      <c r="D76" s="4">
        <v>4</v>
      </c>
      <c r="E76" s="4">
        <v>12.3</v>
      </c>
      <c r="F76" s="4">
        <v>17700</v>
      </c>
      <c r="G76" s="4">
        <v>323000</v>
      </c>
      <c r="H76" s="4">
        <v>89.3</v>
      </c>
      <c r="I76" s="4">
        <v>4.2</v>
      </c>
      <c r="J76" s="4">
        <v>21.45</v>
      </c>
      <c r="K76" s="7">
        <v>11.4</v>
      </c>
      <c r="L76" s="7">
        <v>1.1000000000000001</v>
      </c>
      <c r="M76" s="7">
        <v>27.5</v>
      </c>
      <c r="N76" s="7">
        <v>639</v>
      </c>
      <c r="O76" s="7">
        <v>28.9</v>
      </c>
      <c r="P76" s="8">
        <v>110.7</v>
      </c>
      <c r="Q76" s="7">
        <v>2.23</v>
      </c>
      <c r="R76" s="7">
        <v>28.19</v>
      </c>
      <c r="S76" s="4">
        <v>42</v>
      </c>
      <c r="T76" s="4">
        <v>25</v>
      </c>
      <c r="U76" s="4">
        <v>197</v>
      </c>
      <c r="V76" s="4"/>
      <c r="W76" s="4">
        <v>9.58</v>
      </c>
      <c r="X76" s="4">
        <v>838.3</v>
      </c>
      <c r="Y76" s="10">
        <v>18.489999999999998</v>
      </c>
      <c r="Z76" s="4">
        <v>6</v>
      </c>
      <c r="AA76" s="11">
        <v>331.47</v>
      </c>
      <c r="AB76" s="4">
        <v>4.5</v>
      </c>
      <c r="AC76" s="4">
        <v>47.1</v>
      </c>
      <c r="AD76" s="4">
        <v>1296.725818602144</v>
      </c>
      <c r="AE76" s="6">
        <v>64.957149535324305</v>
      </c>
      <c r="AF76" s="4"/>
      <c r="AG76" s="4"/>
      <c r="AH76" s="4"/>
      <c r="AI76" s="10">
        <v>57.99</v>
      </c>
      <c r="AJ76" s="4">
        <v>0</v>
      </c>
      <c r="AK76" s="6">
        <v>40.332328920796371</v>
      </c>
      <c r="AL76" s="4">
        <v>1</v>
      </c>
    </row>
    <row r="77" spans="1:38" ht="14.25" customHeight="1" x14ac:dyDescent="0.35">
      <c r="A77" s="5">
        <v>160</v>
      </c>
      <c r="B77" s="5">
        <v>83</v>
      </c>
      <c r="C77" s="6">
        <f t="shared" si="4"/>
        <v>32.421874999999993</v>
      </c>
      <c r="D77" s="4">
        <v>4</v>
      </c>
      <c r="E77" s="4">
        <v>13.5</v>
      </c>
      <c r="F77" s="4">
        <v>11870</v>
      </c>
      <c r="G77" s="4">
        <v>301000</v>
      </c>
      <c r="H77" s="4">
        <v>87.1</v>
      </c>
      <c r="I77" s="4">
        <v>8.3000000000000007</v>
      </c>
      <c r="J77" s="4">
        <v>10.56</v>
      </c>
      <c r="K77" s="7">
        <v>10.6</v>
      </c>
      <c r="L77" s="7">
        <v>1.02</v>
      </c>
      <c r="M77" s="7">
        <v>18.899999999999999</v>
      </c>
      <c r="N77" s="7">
        <v>290.2</v>
      </c>
      <c r="O77" s="7">
        <v>35.200000000000003</v>
      </c>
      <c r="P77" s="8">
        <v>25.3</v>
      </c>
      <c r="Q77" s="7">
        <v>0.88</v>
      </c>
      <c r="R77" s="7">
        <v>84.525000000000006</v>
      </c>
      <c r="S77" s="4">
        <v>77</v>
      </c>
      <c r="T77" s="4">
        <v>62</v>
      </c>
      <c r="U77" s="4">
        <v>113</v>
      </c>
      <c r="V77" s="4">
        <v>1603</v>
      </c>
      <c r="W77" s="4">
        <v>9.76</v>
      </c>
      <c r="X77" s="4">
        <v>643.79999999999995</v>
      </c>
      <c r="Y77" s="10">
        <v>0.12</v>
      </c>
      <c r="Z77" s="4">
        <v>6.8</v>
      </c>
      <c r="AA77" s="11">
        <v>255.49</v>
      </c>
      <c r="AB77" s="4">
        <v>5.85</v>
      </c>
      <c r="AC77" s="4">
        <v>47.69</v>
      </c>
      <c r="AD77" s="4">
        <v>962.60791802047584</v>
      </c>
      <c r="AE77" s="6">
        <v>54.28954663844069</v>
      </c>
      <c r="AF77" s="4"/>
      <c r="AG77" s="4"/>
      <c r="AH77" s="4"/>
      <c r="AI77" s="10">
        <v>41.42</v>
      </c>
      <c r="AJ77" s="4">
        <v>0</v>
      </c>
      <c r="AK77" s="6">
        <v>16.038327162894205</v>
      </c>
      <c r="AL77" s="4">
        <v>1</v>
      </c>
    </row>
    <row r="78" spans="1:38" ht="14.25" customHeight="1" x14ac:dyDescent="0.35">
      <c r="A78" s="5">
        <v>148</v>
      </c>
      <c r="B78" s="5">
        <v>45</v>
      </c>
      <c r="C78" s="6">
        <f t="shared" si="4"/>
        <v>20.54419284149014</v>
      </c>
      <c r="D78" s="4">
        <v>1</v>
      </c>
      <c r="E78" s="4">
        <v>6.8</v>
      </c>
      <c r="F78" s="4">
        <v>9340</v>
      </c>
      <c r="G78" s="4">
        <v>337000</v>
      </c>
      <c r="H78" s="4">
        <v>85.1</v>
      </c>
      <c r="I78" s="4">
        <v>5.7</v>
      </c>
      <c r="J78" s="4">
        <v>15</v>
      </c>
      <c r="K78" s="7">
        <v>11.5</v>
      </c>
      <c r="L78" s="7">
        <v>1.1100000000000001</v>
      </c>
      <c r="M78" s="7">
        <v>26.5</v>
      </c>
      <c r="N78" s="7">
        <v>385.8</v>
      </c>
      <c r="O78" s="7">
        <v>6.74</v>
      </c>
      <c r="P78" s="8">
        <v>43.3</v>
      </c>
      <c r="Q78" s="7">
        <v>0.46</v>
      </c>
      <c r="R78" s="7">
        <v>107.3</v>
      </c>
      <c r="S78" s="4">
        <v>37</v>
      </c>
      <c r="T78" s="4">
        <v>442</v>
      </c>
      <c r="U78" s="4"/>
      <c r="V78" s="4"/>
      <c r="W78" s="4">
        <v>13.49</v>
      </c>
      <c r="X78" s="4">
        <v>61.1</v>
      </c>
      <c r="Y78" s="10">
        <v>0.43</v>
      </c>
      <c r="Z78" s="4"/>
      <c r="AA78" s="11">
        <v>49.51</v>
      </c>
      <c r="AB78" s="4">
        <v>9.5299999999999994</v>
      </c>
      <c r="AC78" s="4">
        <v>64.66</v>
      </c>
      <c r="AD78" s="4">
        <v>806.52704449721682</v>
      </c>
      <c r="AE78" s="6">
        <v>46.457995426138588</v>
      </c>
      <c r="AF78" s="4"/>
      <c r="AG78" s="4"/>
      <c r="AH78" s="4"/>
      <c r="AI78" s="10"/>
      <c r="AJ78" s="4">
        <v>0</v>
      </c>
      <c r="AK78" s="6">
        <v>31.265880521469512</v>
      </c>
      <c r="AL78" s="4">
        <v>0</v>
      </c>
    </row>
    <row r="79" spans="1:38" ht="14.25" customHeight="1" x14ac:dyDescent="0.35">
      <c r="A79" s="5">
        <v>155</v>
      </c>
      <c r="B79" s="5">
        <v>63</v>
      </c>
      <c r="C79" s="6">
        <f t="shared" si="4"/>
        <v>26.22268470343392</v>
      </c>
      <c r="D79" s="4">
        <v>1</v>
      </c>
      <c r="E79" s="4">
        <v>9.9</v>
      </c>
      <c r="F79" s="4">
        <v>9560</v>
      </c>
      <c r="G79" s="4">
        <v>258000</v>
      </c>
      <c r="H79" s="4">
        <v>73.400000000000006</v>
      </c>
      <c r="I79" s="4">
        <v>15.2</v>
      </c>
      <c r="J79" s="4">
        <v>48.4</v>
      </c>
      <c r="K79" s="7">
        <v>11.2</v>
      </c>
      <c r="L79" s="7">
        <v>1.08</v>
      </c>
      <c r="M79" s="7">
        <v>24.4</v>
      </c>
      <c r="N79" s="7"/>
      <c r="O79" s="7"/>
      <c r="P79" s="8">
        <v>16.899999999999999</v>
      </c>
      <c r="Q79" s="7">
        <v>0.63</v>
      </c>
      <c r="R79" s="7">
        <v>92.1</v>
      </c>
      <c r="S79" s="4">
        <v>26</v>
      </c>
      <c r="T79" s="4">
        <v>14</v>
      </c>
      <c r="U79" s="4">
        <v>170</v>
      </c>
      <c r="V79" s="4"/>
      <c r="W79" s="4">
        <v>11.03</v>
      </c>
      <c r="X79" s="4"/>
      <c r="Y79" s="10">
        <v>0.3</v>
      </c>
      <c r="Z79" s="4"/>
      <c r="AA79" s="11">
        <v>569.03</v>
      </c>
      <c r="AB79" s="4">
        <v>10.130000000000001</v>
      </c>
      <c r="AC79" s="4">
        <v>60.09</v>
      </c>
      <c r="AD79" s="4">
        <v>420.29983214618824</v>
      </c>
      <c r="AE79" s="6">
        <v>62.373262531637067</v>
      </c>
      <c r="AF79" s="4">
        <v>320.67</v>
      </c>
      <c r="AG79" s="4">
        <v>2.09</v>
      </c>
      <c r="AH79" s="4">
        <v>81.66</v>
      </c>
      <c r="AI79" s="10"/>
      <c r="AJ79" s="4">
        <v>1</v>
      </c>
      <c r="AK79" s="6">
        <v>17.797281179343582</v>
      </c>
      <c r="AL79" s="4">
        <v>0</v>
      </c>
    </row>
    <row r="80" spans="1:38" ht="14.25" customHeight="1" x14ac:dyDescent="0.35">
      <c r="A80" s="5">
        <v>165</v>
      </c>
      <c r="B80" s="5">
        <v>76</v>
      </c>
      <c r="C80" s="6">
        <f t="shared" si="4"/>
        <v>27.915518824609737</v>
      </c>
      <c r="D80" s="4">
        <v>1</v>
      </c>
      <c r="E80" s="4">
        <v>15.1</v>
      </c>
      <c r="F80" s="4">
        <v>18950</v>
      </c>
      <c r="G80" s="4">
        <v>292000</v>
      </c>
      <c r="H80" s="4">
        <v>86.4</v>
      </c>
      <c r="I80" s="4">
        <v>8.3000000000000007</v>
      </c>
      <c r="J80" s="4">
        <v>10.37</v>
      </c>
      <c r="K80" s="7">
        <v>10.6</v>
      </c>
      <c r="L80" s="7">
        <v>1.02</v>
      </c>
      <c r="M80" s="7">
        <v>25.7</v>
      </c>
      <c r="N80" s="7">
        <v>162.9</v>
      </c>
      <c r="O80" s="7">
        <v>0.93</v>
      </c>
      <c r="P80" s="8">
        <v>28.6</v>
      </c>
      <c r="Q80" s="7">
        <v>1.08</v>
      </c>
      <c r="R80" s="7">
        <v>75.7</v>
      </c>
      <c r="S80" s="4">
        <v>51</v>
      </c>
      <c r="T80" s="4">
        <v>23</v>
      </c>
      <c r="U80" s="4">
        <v>99</v>
      </c>
      <c r="V80" s="4">
        <v>1255</v>
      </c>
      <c r="W80" s="4">
        <v>0.13</v>
      </c>
      <c r="X80" s="4">
        <v>549.70000000000005</v>
      </c>
      <c r="Y80" s="10">
        <v>0.06</v>
      </c>
      <c r="Z80" s="4">
        <v>4.8</v>
      </c>
      <c r="AA80" s="11">
        <v>232.47</v>
      </c>
      <c r="AB80" s="4">
        <v>5.39</v>
      </c>
      <c r="AC80" s="4">
        <v>154.61000000000001</v>
      </c>
      <c r="AD80" s="4">
        <v>8168.7364779809177</v>
      </c>
      <c r="AE80" s="6">
        <v>205.5032661404519</v>
      </c>
      <c r="AF80" s="4"/>
      <c r="AG80" s="4"/>
      <c r="AH80" s="4"/>
      <c r="AI80" s="10"/>
      <c r="AJ80" s="4">
        <v>0</v>
      </c>
      <c r="AK80" s="6">
        <v>11.012788226876628</v>
      </c>
      <c r="AL80" s="4">
        <v>0</v>
      </c>
    </row>
    <row r="81" spans="1:38" ht="14.25" customHeight="1" x14ac:dyDescent="0.35">
      <c r="A81" s="5">
        <v>161</v>
      </c>
      <c r="B81" s="5">
        <v>58</v>
      </c>
      <c r="C81" s="6">
        <f t="shared" si="4"/>
        <v>22.375679950619187</v>
      </c>
      <c r="D81" s="4">
        <v>4</v>
      </c>
      <c r="E81" s="4">
        <v>9.3000000000000007</v>
      </c>
      <c r="F81" s="4">
        <v>17750</v>
      </c>
      <c r="G81" s="4">
        <v>421000</v>
      </c>
      <c r="H81" s="4">
        <v>90.8</v>
      </c>
      <c r="I81" s="4">
        <v>5.9</v>
      </c>
      <c r="J81" s="4">
        <v>15.51</v>
      </c>
      <c r="K81" s="7">
        <v>10.4</v>
      </c>
      <c r="L81" s="7">
        <v>1</v>
      </c>
      <c r="M81" s="7">
        <v>33.1</v>
      </c>
      <c r="N81" s="7"/>
      <c r="O81" s="7">
        <v>4.49</v>
      </c>
      <c r="P81" s="8">
        <v>153.5</v>
      </c>
      <c r="Q81" s="7">
        <v>10.79</v>
      </c>
      <c r="R81" s="7">
        <v>4.8</v>
      </c>
      <c r="S81" s="4">
        <v>13</v>
      </c>
      <c r="T81" s="4">
        <v>9</v>
      </c>
      <c r="U81" s="4">
        <v>286</v>
      </c>
      <c r="V81" s="4">
        <v>1095</v>
      </c>
      <c r="W81" s="4">
        <v>6.65</v>
      </c>
      <c r="X81" s="4">
        <v>3765</v>
      </c>
      <c r="Y81" s="10">
        <v>0.99</v>
      </c>
      <c r="Z81" s="4">
        <v>6.1</v>
      </c>
      <c r="AA81" s="11">
        <v>70.67</v>
      </c>
      <c r="AB81" s="4">
        <v>5.39</v>
      </c>
      <c r="AC81" s="4">
        <v>183.37</v>
      </c>
      <c r="AD81" s="4">
        <v>3150.2755031839588</v>
      </c>
      <c r="AE81" s="6">
        <v>90.50746185664299</v>
      </c>
      <c r="AF81" s="4">
        <v>636.70000000000005</v>
      </c>
      <c r="AG81" s="4">
        <v>39.06</v>
      </c>
      <c r="AH81" s="4">
        <v>73.09</v>
      </c>
      <c r="AI81" s="14">
        <v>420.1</v>
      </c>
      <c r="AJ81" s="4">
        <v>1</v>
      </c>
      <c r="AK81" s="6">
        <v>13.141343473093764</v>
      </c>
      <c r="AL81" s="4">
        <v>1</v>
      </c>
    </row>
    <row r="82" spans="1:38" ht="14.25" customHeight="1" x14ac:dyDescent="0.35">
      <c r="A82" s="5">
        <v>155</v>
      </c>
      <c r="B82" s="5">
        <v>60</v>
      </c>
      <c r="C82" s="6">
        <f t="shared" si="4"/>
        <v>24.973985431841829</v>
      </c>
      <c r="D82" s="4">
        <v>4</v>
      </c>
      <c r="E82" s="4">
        <v>10.7</v>
      </c>
      <c r="F82" s="4">
        <v>12290</v>
      </c>
      <c r="G82" s="4">
        <v>209000</v>
      </c>
      <c r="H82" s="4">
        <v>89.8</v>
      </c>
      <c r="I82" s="4">
        <v>5.4</v>
      </c>
      <c r="J82" s="4">
        <v>16.73</v>
      </c>
      <c r="K82" s="7">
        <v>10.1</v>
      </c>
      <c r="L82" s="7">
        <v>0.97</v>
      </c>
      <c r="M82" s="7">
        <v>28.5</v>
      </c>
      <c r="N82" s="7">
        <v>435</v>
      </c>
      <c r="O82" s="7">
        <v>1.19</v>
      </c>
      <c r="P82" s="8">
        <v>14.1</v>
      </c>
      <c r="Q82" s="7">
        <v>0.65</v>
      </c>
      <c r="R82" s="7">
        <v>95.820999999999998</v>
      </c>
      <c r="S82" s="4">
        <v>67</v>
      </c>
      <c r="T82" s="4">
        <v>23</v>
      </c>
      <c r="U82" s="4">
        <v>154</v>
      </c>
      <c r="V82" s="4">
        <v>662</v>
      </c>
      <c r="W82" s="4">
        <v>13.07</v>
      </c>
      <c r="X82" s="4">
        <v>785.9</v>
      </c>
      <c r="Y82" s="10">
        <v>0.16</v>
      </c>
      <c r="Z82" s="4">
        <v>7.7</v>
      </c>
      <c r="AA82" s="11">
        <v>300.83999999999997</v>
      </c>
      <c r="AB82" s="4">
        <v>9.7799999999999994</v>
      </c>
      <c r="AC82" s="4">
        <v>106.57</v>
      </c>
      <c r="AD82" s="4">
        <v>483.2978581460394</v>
      </c>
      <c r="AE82" s="6">
        <v>13.986871505680378</v>
      </c>
      <c r="AF82" s="4">
        <v>855.79</v>
      </c>
      <c r="AG82" s="4">
        <v>6.82</v>
      </c>
      <c r="AH82" s="4">
        <v>59.66</v>
      </c>
      <c r="AI82" s="10"/>
      <c r="AJ82" s="4">
        <v>1</v>
      </c>
      <c r="AK82" s="6">
        <v>40.332328920796371</v>
      </c>
      <c r="AL82" s="4">
        <v>1</v>
      </c>
    </row>
    <row r="83" spans="1:38" ht="14.25" customHeight="1" x14ac:dyDescent="0.35">
      <c r="A83" s="5"/>
      <c r="B83" s="5"/>
      <c r="C83" s="6"/>
      <c r="D83" s="4"/>
      <c r="E83" s="4">
        <v>9.6999999999999993</v>
      </c>
      <c r="F83" s="4">
        <v>14100</v>
      </c>
      <c r="G83" s="4">
        <v>381000</v>
      </c>
      <c r="H83" s="4">
        <v>77.5</v>
      </c>
      <c r="I83" s="4">
        <v>15.8</v>
      </c>
      <c r="J83" s="4">
        <v>4.9000000000000004</v>
      </c>
      <c r="K83" s="7">
        <v>10.6</v>
      </c>
      <c r="L83" s="7">
        <v>1.02</v>
      </c>
      <c r="M83" s="7">
        <v>25.5</v>
      </c>
      <c r="N83" s="7">
        <v>440.8</v>
      </c>
      <c r="O83" s="7">
        <v>0.96</v>
      </c>
      <c r="P83" s="8">
        <v>32.5</v>
      </c>
      <c r="Q83" s="7">
        <v>1.36</v>
      </c>
      <c r="R83" s="7">
        <v>44.942</v>
      </c>
      <c r="S83" s="4">
        <v>10</v>
      </c>
      <c r="T83" s="4">
        <v>7</v>
      </c>
      <c r="U83" s="4">
        <v>291</v>
      </c>
      <c r="V83" s="4">
        <v>241</v>
      </c>
      <c r="W83" s="4">
        <v>8.52</v>
      </c>
      <c r="X83" s="4">
        <v>461.3</v>
      </c>
      <c r="Y83" s="10">
        <v>0.52</v>
      </c>
      <c r="Z83" s="4"/>
      <c r="AA83" s="11">
        <v>728.95</v>
      </c>
      <c r="AB83" s="4">
        <v>6.71</v>
      </c>
      <c r="AC83" s="4">
        <v>74.12</v>
      </c>
      <c r="AD83" s="4">
        <v>661.23086265488826</v>
      </c>
      <c r="AE83" s="6">
        <v>49.916228670836219</v>
      </c>
      <c r="AF83" s="4">
        <v>629.46</v>
      </c>
      <c r="AG83" s="4">
        <v>2.0299999999999998</v>
      </c>
      <c r="AH83" s="4">
        <v>91.58</v>
      </c>
      <c r="AI83" s="10"/>
      <c r="AJ83" s="4">
        <v>1</v>
      </c>
      <c r="AK83" s="6">
        <v>43.530480079310273</v>
      </c>
      <c r="AL83" s="4">
        <v>0</v>
      </c>
    </row>
    <row r="84" spans="1:38" ht="14.25" customHeight="1" x14ac:dyDescent="0.35">
      <c r="A84" s="5">
        <v>166</v>
      </c>
      <c r="B84" s="5">
        <v>50</v>
      </c>
      <c r="C84" s="6">
        <f>(B84/(A84/100)^2)</f>
        <v>18.144868631151112</v>
      </c>
      <c r="D84" s="4">
        <v>1</v>
      </c>
      <c r="E84" s="4">
        <v>10.9</v>
      </c>
      <c r="F84" s="4">
        <v>11920</v>
      </c>
      <c r="G84" s="4">
        <v>199000</v>
      </c>
      <c r="H84" s="4">
        <v>83.2</v>
      </c>
      <c r="I84" s="4">
        <v>7.6</v>
      </c>
      <c r="J84" s="4">
        <v>10.9</v>
      </c>
      <c r="K84" s="7">
        <v>11.3</v>
      </c>
      <c r="L84" s="7">
        <v>1.0900000000000001</v>
      </c>
      <c r="M84" s="7">
        <v>22.7</v>
      </c>
      <c r="N84" s="7"/>
      <c r="O84" s="7">
        <v>1.26</v>
      </c>
      <c r="P84" s="8">
        <v>53.4</v>
      </c>
      <c r="Q84" s="7">
        <v>0.9</v>
      </c>
      <c r="R84" s="7">
        <v>93.159000000000006</v>
      </c>
      <c r="S84" s="4">
        <v>119</v>
      </c>
      <c r="T84" s="4">
        <v>117</v>
      </c>
      <c r="U84" s="4">
        <v>155</v>
      </c>
      <c r="V84" s="4"/>
      <c r="W84" s="4">
        <v>1.1599999999999999</v>
      </c>
      <c r="X84" s="4"/>
      <c r="Y84" s="10">
        <v>0.19</v>
      </c>
      <c r="Z84" s="4"/>
      <c r="AA84" s="11">
        <v>533.16999999999996</v>
      </c>
      <c r="AB84" s="4">
        <v>8.26</v>
      </c>
      <c r="AC84" s="4">
        <v>282.88</v>
      </c>
      <c r="AD84" s="4">
        <v>5646.1755761625673</v>
      </c>
      <c r="AE84" s="6">
        <v>170.48365648606602</v>
      </c>
      <c r="AF84" s="4"/>
      <c r="AG84" s="4"/>
      <c r="AH84" s="4"/>
      <c r="AI84" s="10"/>
      <c r="AJ84" s="4">
        <v>1</v>
      </c>
      <c r="AK84" s="6">
        <v>1.3357497174713331</v>
      </c>
      <c r="AL84" s="4">
        <v>1</v>
      </c>
    </row>
    <row r="85" spans="1:38" ht="14.25" customHeight="1" x14ac:dyDescent="0.35">
      <c r="A85" s="5">
        <v>168</v>
      </c>
      <c r="B85" s="5">
        <v>83</v>
      </c>
      <c r="C85" s="6">
        <f>(B85/(A85/100)^2)</f>
        <v>29.407596371882089</v>
      </c>
      <c r="D85" s="4">
        <v>4</v>
      </c>
      <c r="E85" s="4">
        <v>13</v>
      </c>
      <c r="F85" s="4">
        <v>3480</v>
      </c>
      <c r="G85" s="4">
        <v>165000</v>
      </c>
      <c r="H85" s="4">
        <v>79.3</v>
      </c>
      <c r="I85" s="4">
        <v>16</v>
      </c>
      <c r="J85" s="4">
        <v>4.8</v>
      </c>
      <c r="K85" s="7">
        <v>10</v>
      </c>
      <c r="L85" s="7">
        <v>0.96</v>
      </c>
      <c r="M85" s="7">
        <v>33.9</v>
      </c>
      <c r="N85" s="7">
        <v>479.5</v>
      </c>
      <c r="O85" s="7">
        <v>1.39</v>
      </c>
      <c r="P85" s="8">
        <v>81.3</v>
      </c>
      <c r="Q85" s="7">
        <v>2.75</v>
      </c>
      <c r="R85" s="7">
        <v>20.260000000000002</v>
      </c>
      <c r="S85" s="4">
        <v>28</v>
      </c>
      <c r="T85" s="4">
        <v>19</v>
      </c>
      <c r="U85" s="4">
        <v>145</v>
      </c>
      <c r="V85" s="4">
        <v>410</v>
      </c>
      <c r="W85" s="4">
        <v>3.27</v>
      </c>
      <c r="X85" s="4">
        <v>984</v>
      </c>
      <c r="Y85" s="10">
        <v>0.63</v>
      </c>
      <c r="Z85" s="4"/>
      <c r="AA85" s="11">
        <v>228.85</v>
      </c>
      <c r="AB85" s="4">
        <v>6.08</v>
      </c>
      <c r="AC85" s="4">
        <v>80.790000000000006</v>
      </c>
      <c r="AD85" s="4">
        <v>617.5885570925559</v>
      </c>
      <c r="AE85" s="6">
        <v>55.733279244876961</v>
      </c>
      <c r="AF85" s="4">
        <v>1006.42</v>
      </c>
      <c r="AG85" s="4">
        <v>1.89</v>
      </c>
      <c r="AH85" s="4">
        <v>96.95</v>
      </c>
      <c r="AI85" s="10"/>
      <c r="AJ85" s="4">
        <v>0</v>
      </c>
      <c r="AK85" s="6">
        <v>14.659842205335076</v>
      </c>
      <c r="AL85" s="4">
        <v>0</v>
      </c>
    </row>
    <row r="86" spans="1:38" ht="14.25" customHeight="1" x14ac:dyDescent="0.35">
      <c r="A86" s="5">
        <v>150</v>
      </c>
      <c r="B86" s="5">
        <v>40</v>
      </c>
      <c r="C86" s="6">
        <f>(B86/(A86/100)^2)</f>
        <v>17.777777777777779</v>
      </c>
      <c r="D86" s="4">
        <v>3</v>
      </c>
      <c r="E86" s="4">
        <v>14.9</v>
      </c>
      <c r="F86" s="4">
        <v>18290</v>
      </c>
      <c r="G86" s="4">
        <v>267000</v>
      </c>
      <c r="H86" s="4">
        <v>88.4</v>
      </c>
      <c r="I86" s="4">
        <v>6.8</v>
      </c>
      <c r="J86" s="4">
        <v>13.04</v>
      </c>
      <c r="K86" s="4"/>
      <c r="L86" s="4"/>
      <c r="M86" s="4"/>
      <c r="N86" s="4">
        <v>397.4</v>
      </c>
      <c r="O86" s="4">
        <v>9.16</v>
      </c>
      <c r="P86" s="4">
        <v>109.5</v>
      </c>
      <c r="Q86" s="4">
        <v>1.51</v>
      </c>
      <c r="R86" s="4">
        <v>35.392000000000003</v>
      </c>
      <c r="S86" s="4">
        <v>113</v>
      </c>
      <c r="T86" s="4">
        <v>72</v>
      </c>
      <c r="U86" s="4">
        <v>147</v>
      </c>
      <c r="V86" s="4">
        <v>878</v>
      </c>
      <c r="W86" s="4">
        <v>15.72</v>
      </c>
      <c r="X86" s="4">
        <v>9178</v>
      </c>
      <c r="Y86" s="10">
        <v>1.63</v>
      </c>
      <c r="Z86" s="4"/>
      <c r="AA86" s="4">
        <v>122.499950563166</v>
      </c>
      <c r="AB86" s="4"/>
      <c r="AC86" s="4"/>
      <c r="AD86" s="4"/>
      <c r="AE86" s="4"/>
      <c r="AF86" s="4"/>
      <c r="AG86" s="4"/>
      <c r="AH86" s="4"/>
      <c r="AI86" s="14">
        <v>143.9</v>
      </c>
      <c r="AJ86" s="4">
        <v>0</v>
      </c>
      <c r="AK86" s="4"/>
      <c r="AL86" s="4">
        <v>1</v>
      </c>
    </row>
    <row r="87" spans="1:38" ht="14.25" customHeight="1" x14ac:dyDescent="0.35">
      <c r="A87" s="5"/>
      <c r="B87" s="5"/>
      <c r="C87" s="6"/>
      <c r="D87" s="4"/>
      <c r="E87" s="4">
        <v>13.8</v>
      </c>
      <c r="F87" s="4">
        <v>19360</v>
      </c>
      <c r="G87" s="4">
        <v>213000</v>
      </c>
      <c r="H87" s="4">
        <v>74.099999999999994</v>
      </c>
      <c r="I87" s="4">
        <v>17.8</v>
      </c>
      <c r="J87" s="4">
        <v>4.16</v>
      </c>
      <c r="K87" s="4">
        <v>21.7</v>
      </c>
      <c r="L87" s="4">
        <v>2.21</v>
      </c>
      <c r="M87" s="4">
        <v>32.200000000000003</v>
      </c>
      <c r="N87" s="4">
        <v>300.5</v>
      </c>
      <c r="O87" s="4">
        <v>16.64</v>
      </c>
      <c r="P87" s="4">
        <v>296.10000000000002</v>
      </c>
      <c r="Q87" s="18">
        <v>6.65</v>
      </c>
      <c r="R87" s="18">
        <v>8.359</v>
      </c>
      <c r="S87" s="4">
        <v>144</v>
      </c>
      <c r="T87" s="4">
        <v>51</v>
      </c>
      <c r="U87" s="4">
        <v>107</v>
      </c>
      <c r="V87" s="4"/>
      <c r="W87" s="4">
        <v>1.29</v>
      </c>
      <c r="X87" s="4"/>
      <c r="Y87" s="10">
        <v>4.03</v>
      </c>
      <c r="Z87" s="4">
        <v>7.5</v>
      </c>
      <c r="AA87" s="4">
        <v>183.47907410861799</v>
      </c>
      <c r="AB87" s="4"/>
      <c r="AC87" s="4"/>
      <c r="AD87" s="4"/>
      <c r="AE87" s="4"/>
      <c r="AF87" s="4"/>
      <c r="AG87" s="4"/>
      <c r="AH87" s="4"/>
      <c r="AI87" s="10"/>
      <c r="AJ87" s="4">
        <v>1</v>
      </c>
      <c r="AK87" s="4"/>
      <c r="AL87" s="4">
        <v>1</v>
      </c>
    </row>
    <row r="88" spans="1:38" ht="14.25" customHeight="1" x14ac:dyDescent="0.35">
      <c r="A88" s="5"/>
      <c r="B88" s="5"/>
      <c r="C88" s="6"/>
      <c r="D88" s="4">
        <v>4</v>
      </c>
      <c r="E88" s="4">
        <v>12.6</v>
      </c>
      <c r="F88" s="4">
        <v>13030</v>
      </c>
      <c r="G88" s="4">
        <v>219000</v>
      </c>
      <c r="H88" s="4">
        <v>93.8</v>
      </c>
      <c r="I88" s="4">
        <v>4.5</v>
      </c>
      <c r="J88" s="4">
        <v>21.09</v>
      </c>
      <c r="K88" s="4">
        <v>11.1</v>
      </c>
      <c r="L88" s="4">
        <v>1.07</v>
      </c>
      <c r="M88" s="4">
        <v>27.3</v>
      </c>
      <c r="N88" s="4">
        <v>459.5</v>
      </c>
      <c r="O88" s="4">
        <v>0.43</v>
      </c>
      <c r="P88" s="4">
        <v>28.3</v>
      </c>
      <c r="Q88" s="18">
        <v>0.84</v>
      </c>
      <c r="R88" s="18">
        <v>70.914000000000001</v>
      </c>
      <c r="S88" s="4">
        <v>55</v>
      </c>
      <c r="T88" s="4">
        <v>42</v>
      </c>
      <c r="U88" s="4">
        <v>148</v>
      </c>
      <c r="V88" s="4"/>
      <c r="W88" s="4">
        <v>1.1100000000000001</v>
      </c>
      <c r="X88" s="4">
        <v>721.8</v>
      </c>
      <c r="Y88" s="10">
        <v>0.23</v>
      </c>
      <c r="Z88" s="4">
        <v>8.3000000000000007</v>
      </c>
      <c r="AA88" s="4"/>
      <c r="AB88" s="4"/>
      <c r="AC88" s="4"/>
      <c r="AD88" s="4"/>
      <c r="AE88" s="4"/>
      <c r="AF88" s="4">
        <v>312.31</v>
      </c>
      <c r="AG88" s="4">
        <v>4.91</v>
      </c>
      <c r="AH88" s="4">
        <v>68.19</v>
      </c>
      <c r="AI88" s="10"/>
      <c r="AJ88" s="4">
        <v>1</v>
      </c>
      <c r="AK88" s="4"/>
      <c r="AL88" s="4">
        <v>1</v>
      </c>
    </row>
    <row r="89" spans="1:38" ht="14.25" customHeight="1" x14ac:dyDescent="0.35">
      <c r="A89" s="5">
        <v>150</v>
      </c>
      <c r="B89" s="5">
        <v>60</v>
      </c>
      <c r="C89" s="6">
        <f t="shared" ref="C89:C98" si="5">(B89/(A89/100)^2)</f>
        <v>26.666666666666668</v>
      </c>
      <c r="D89" s="4">
        <v>4</v>
      </c>
      <c r="E89" s="4">
        <v>10.6</v>
      </c>
      <c r="F89" s="4">
        <v>9050</v>
      </c>
      <c r="G89" s="4">
        <v>284000</v>
      </c>
      <c r="H89" s="4">
        <v>81.5</v>
      </c>
      <c r="I89" s="4">
        <v>13.1</v>
      </c>
      <c r="J89" s="4">
        <v>6.19</v>
      </c>
      <c r="K89" s="4">
        <v>10.3</v>
      </c>
      <c r="L89" s="4">
        <v>0.99</v>
      </c>
      <c r="M89" s="4">
        <v>29.9</v>
      </c>
      <c r="N89" s="4">
        <v>389.2</v>
      </c>
      <c r="O89" s="4">
        <v>2.1800000000000002</v>
      </c>
      <c r="P89" s="4">
        <v>28</v>
      </c>
      <c r="Q89" s="18">
        <v>0.73</v>
      </c>
      <c r="R89" s="18">
        <v>85.218000000000004</v>
      </c>
      <c r="S89" s="4">
        <v>27</v>
      </c>
      <c r="T89" s="4">
        <v>21</v>
      </c>
      <c r="U89" s="4">
        <v>154</v>
      </c>
      <c r="V89" s="4">
        <v>564</v>
      </c>
      <c r="W89" s="4">
        <v>21.8</v>
      </c>
      <c r="X89" s="4">
        <v>555.5</v>
      </c>
      <c r="Y89" s="10">
        <v>0.15</v>
      </c>
      <c r="Z89" s="4">
        <v>7</v>
      </c>
      <c r="AA89" s="4">
        <v>152.41</v>
      </c>
      <c r="AB89" s="4"/>
      <c r="AC89" s="4"/>
      <c r="AD89" s="4"/>
      <c r="AE89" s="4"/>
      <c r="AF89" s="4"/>
      <c r="AG89" s="4"/>
      <c r="AH89" s="4"/>
      <c r="AI89" s="10"/>
      <c r="AJ89" s="4">
        <v>0</v>
      </c>
      <c r="AK89" s="4"/>
      <c r="AL89" s="4">
        <v>1</v>
      </c>
    </row>
    <row r="90" spans="1:38" ht="14.25" customHeight="1" x14ac:dyDescent="0.35">
      <c r="A90" s="5">
        <v>165</v>
      </c>
      <c r="B90" s="5">
        <v>52</v>
      </c>
      <c r="C90" s="6">
        <f t="shared" si="5"/>
        <v>19.100091827364558</v>
      </c>
      <c r="D90" s="4">
        <v>3</v>
      </c>
      <c r="E90" s="4">
        <v>14.1</v>
      </c>
      <c r="F90" s="4">
        <v>9350</v>
      </c>
      <c r="G90" s="4">
        <v>275000</v>
      </c>
      <c r="H90" s="4">
        <v>87.7</v>
      </c>
      <c r="I90" s="4">
        <v>7.3</v>
      </c>
      <c r="J90" s="4">
        <v>12.06</v>
      </c>
      <c r="K90" s="4">
        <v>11.9</v>
      </c>
      <c r="L90" s="4">
        <v>1.1599999999999999</v>
      </c>
      <c r="M90" s="4">
        <v>32.9</v>
      </c>
      <c r="N90" s="4"/>
      <c r="O90" s="4">
        <v>8.08</v>
      </c>
      <c r="P90" s="4">
        <v>125.7</v>
      </c>
      <c r="Q90" s="18">
        <v>2.82</v>
      </c>
      <c r="R90" s="18">
        <v>20.637</v>
      </c>
      <c r="S90" s="4">
        <v>70</v>
      </c>
      <c r="T90" s="4">
        <v>49</v>
      </c>
      <c r="U90" s="4">
        <v>102</v>
      </c>
      <c r="V90" s="4">
        <v>1052</v>
      </c>
      <c r="W90" s="4">
        <v>10.9</v>
      </c>
      <c r="X90" s="4">
        <v>1162</v>
      </c>
      <c r="Y90" s="10">
        <v>0.63</v>
      </c>
      <c r="Z90" s="4"/>
      <c r="AA90" s="4">
        <v>48.335938983824597</v>
      </c>
      <c r="AB90" s="4"/>
      <c r="AC90" s="4"/>
      <c r="AD90" s="4"/>
      <c r="AE90" s="4"/>
      <c r="AF90" s="4"/>
      <c r="AG90" s="4"/>
      <c r="AH90" s="4"/>
      <c r="AI90" s="14">
        <v>25.49</v>
      </c>
      <c r="AJ90" s="4">
        <v>0</v>
      </c>
      <c r="AK90" s="4"/>
      <c r="AL90" s="4">
        <v>1</v>
      </c>
    </row>
    <row r="91" spans="1:38" ht="14.25" customHeight="1" x14ac:dyDescent="0.35">
      <c r="A91" s="5">
        <v>170</v>
      </c>
      <c r="B91" s="5">
        <v>70</v>
      </c>
      <c r="C91" s="6">
        <f t="shared" si="5"/>
        <v>24.221453287197235</v>
      </c>
      <c r="D91" s="4">
        <v>4</v>
      </c>
      <c r="E91" s="4">
        <v>14</v>
      </c>
      <c r="F91" s="4">
        <v>6700</v>
      </c>
      <c r="G91" s="4">
        <v>201000</v>
      </c>
      <c r="H91" s="4">
        <v>7.3</v>
      </c>
      <c r="I91" s="4">
        <v>2.2999999999999998</v>
      </c>
      <c r="J91" s="4">
        <v>3.2</v>
      </c>
      <c r="K91" s="4"/>
      <c r="L91" s="4"/>
      <c r="M91" s="4"/>
      <c r="N91" s="4"/>
      <c r="O91" s="4">
        <v>1.23</v>
      </c>
      <c r="P91" s="4">
        <v>21.9</v>
      </c>
      <c r="Q91" s="18">
        <v>1.24</v>
      </c>
      <c r="R91" s="18">
        <v>62.792000000000002</v>
      </c>
      <c r="S91" s="4">
        <v>46</v>
      </c>
      <c r="T91" s="4">
        <v>30</v>
      </c>
      <c r="U91" s="4">
        <v>107</v>
      </c>
      <c r="V91" s="4">
        <v>734</v>
      </c>
      <c r="W91" s="4">
        <v>6.32</v>
      </c>
      <c r="X91" s="4">
        <v>980.8</v>
      </c>
      <c r="Y91" s="10">
        <v>0.41</v>
      </c>
      <c r="Z91" s="4"/>
      <c r="AA91" s="4">
        <v>96.457386785191304</v>
      </c>
      <c r="AB91" s="4"/>
      <c r="AC91" s="4"/>
      <c r="AD91" s="4"/>
      <c r="AE91" s="4"/>
      <c r="AF91" s="4"/>
      <c r="AG91" s="4"/>
      <c r="AH91" s="4"/>
      <c r="AI91" s="10">
        <v>80.87</v>
      </c>
      <c r="AJ91" s="4">
        <v>0</v>
      </c>
      <c r="AK91" s="4"/>
      <c r="AL91" s="4">
        <v>1</v>
      </c>
    </row>
    <row r="92" spans="1:38" ht="14.25" customHeight="1" x14ac:dyDescent="0.35">
      <c r="A92" s="5">
        <v>160</v>
      </c>
      <c r="B92" s="5">
        <v>70</v>
      </c>
      <c r="C92" s="6">
        <f t="shared" si="5"/>
        <v>27.343749999999996</v>
      </c>
      <c r="D92" s="4">
        <v>4</v>
      </c>
      <c r="E92" s="4">
        <v>11.4</v>
      </c>
      <c r="F92" s="4">
        <v>16700</v>
      </c>
      <c r="G92" s="4">
        <v>347000</v>
      </c>
      <c r="H92" s="4">
        <v>93</v>
      </c>
      <c r="I92" s="4">
        <v>3</v>
      </c>
      <c r="J92" s="4">
        <v>32</v>
      </c>
      <c r="K92" s="4">
        <v>12.4</v>
      </c>
      <c r="L92" s="4">
        <v>1.21</v>
      </c>
      <c r="M92" s="4">
        <v>32.200000000000003</v>
      </c>
      <c r="N92" s="4"/>
      <c r="O92" s="4">
        <v>3.6</v>
      </c>
      <c r="P92" s="4">
        <v>59.3</v>
      </c>
      <c r="Q92" s="18">
        <v>1.37</v>
      </c>
      <c r="R92" s="18">
        <v>55.661999999999999</v>
      </c>
      <c r="S92" s="4">
        <v>74</v>
      </c>
      <c r="T92" s="4">
        <v>40</v>
      </c>
      <c r="U92" s="4">
        <v>108</v>
      </c>
      <c r="V92" s="4">
        <v>1317</v>
      </c>
      <c r="W92" s="4">
        <v>18.73</v>
      </c>
      <c r="X92" s="4">
        <v>1963</v>
      </c>
      <c r="Y92" s="10">
        <v>1.81</v>
      </c>
      <c r="Z92" s="4">
        <v>5.8</v>
      </c>
      <c r="AA92" s="4">
        <v>171.91</v>
      </c>
      <c r="AB92" s="4"/>
      <c r="AC92" s="4"/>
      <c r="AD92" s="4"/>
      <c r="AE92" s="4"/>
      <c r="AF92" s="4">
        <v>680.78</v>
      </c>
      <c r="AG92" s="4">
        <v>5.05</v>
      </c>
      <c r="AH92" s="4">
        <v>110.21</v>
      </c>
      <c r="AI92" s="10">
        <v>239.6</v>
      </c>
      <c r="AJ92" s="4">
        <v>0</v>
      </c>
      <c r="AK92" s="4"/>
      <c r="AL92" s="4">
        <v>1</v>
      </c>
    </row>
    <row r="93" spans="1:38" ht="14.25" customHeight="1" x14ac:dyDescent="0.35">
      <c r="A93" s="5">
        <v>160</v>
      </c>
      <c r="B93" s="5">
        <v>68</v>
      </c>
      <c r="C93" s="6">
        <f t="shared" si="5"/>
        <v>26.562499999999996</v>
      </c>
      <c r="D93" s="4">
        <v>4</v>
      </c>
      <c r="E93" s="4">
        <v>13.4</v>
      </c>
      <c r="F93" s="4">
        <v>24410</v>
      </c>
      <c r="G93" s="4">
        <v>367000</v>
      </c>
      <c r="H93" s="4">
        <v>90.3</v>
      </c>
      <c r="I93" s="4">
        <v>4.3</v>
      </c>
      <c r="J93" s="4">
        <v>21.19</v>
      </c>
      <c r="K93" s="4">
        <v>14</v>
      </c>
      <c r="L93" s="4">
        <v>1.38</v>
      </c>
      <c r="M93" s="4">
        <v>37.799999999999997</v>
      </c>
      <c r="N93" s="4"/>
      <c r="O93" s="4">
        <v>5.52</v>
      </c>
      <c r="P93" s="4">
        <v>22.9</v>
      </c>
      <c r="Q93" s="18">
        <v>1.92</v>
      </c>
      <c r="R93" s="18">
        <v>34.500999999999998</v>
      </c>
      <c r="S93" s="4">
        <v>140</v>
      </c>
      <c r="T93" s="4">
        <v>82</v>
      </c>
      <c r="U93" s="4">
        <v>191</v>
      </c>
      <c r="V93" s="4">
        <v>1975</v>
      </c>
      <c r="W93" s="4">
        <v>1.23</v>
      </c>
      <c r="X93" s="4"/>
      <c r="Y93" s="10">
        <v>1.65</v>
      </c>
      <c r="Z93" s="4">
        <v>6.3</v>
      </c>
      <c r="AA93" s="4">
        <v>136.900458761457</v>
      </c>
      <c r="AB93" s="4"/>
      <c r="AC93" s="4"/>
      <c r="AD93" s="4"/>
      <c r="AE93" s="4"/>
      <c r="AF93" s="4">
        <v>531.45000000000005</v>
      </c>
      <c r="AG93" s="4">
        <v>27.29</v>
      </c>
      <c r="AH93" s="4">
        <v>84.24</v>
      </c>
      <c r="AI93" s="10"/>
      <c r="AJ93" s="4">
        <v>0</v>
      </c>
      <c r="AK93" s="4"/>
      <c r="AL93" s="4">
        <v>1</v>
      </c>
    </row>
    <row r="94" spans="1:38" ht="14.25" customHeight="1" x14ac:dyDescent="0.35">
      <c r="A94" s="5">
        <v>175</v>
      </c>
      <c r="B94" s="5">
        <v>96</v>
      </c>
      <c r="C94" s="6">
        <f t="shared" si="5"/>
        <v>31.346938775510203</v>
      </c>
      <c r="D94" s="4">
        <v>4</v>
      </c>
      <c r="E94" s="4">
        <v>13.4</v>
      </c>
      <c r="F94" s="4">
        <v>16460</v>
      </c>
      <c r="G94" s="4">
        <v>307000</v>
      </c>
      <c r="H94" s="4">
        <v>92.2</v>
      </c>
      <c r="I94" s="4">
        <v>4.0999999999999996</v>
      </c>
      <c r="J94" s="4">
        <v>22.64</v>
      </c>
      <c r="K94" s="4">
        <v>11.4</v>
      </c>
      <c r="L94" s="4">
        <v>1.1000000000000001</v>
      </c>
      <c r="M94" s="4">
        <v>37.6</v>
      </c>
      <c r="N94" s="4">
        <v>435</v>
      </c>
      <c r="O94" s="4">
        <v>11.92</v>
      </c>
      <c r="P94" s="4">
        <v>88.1</v>
      </c>
      <c r="Q94" s="18">
        <v>1.62</v>
      </c>
      <c r="R94" s="18">
        <v>49.448999999999998</v>
      </c>
      <c r="S94" s="4">
        <v>48</v>
      </c>
      <c r="T94" s="4">
        <v>21</v>
      </c>
      <c r="U94" s="4">
        <v>218</v>
      </c>
      <c r="V94" s="4"/>
      <c r="W94" s="4">
        <v>12.12</v>
      </c>
      <c r="X94" s="4"/>
      <c r="Y94" s="10">
        <v>0.76</v>
      </c>
      <c r="Z94" s="4"/>
      <c r="AA94" s="4">
        <v>141.26056707349699</v>
      </c>
      <c r="AB94" s="4"/>
      <c r="AC94" s="4"/>
      <c r="AD94" s="4"/>
      <c r="AE94" s="4"/>
      <c r="AF94" s="4">
        <v>640.33000000000004</v>
      </c>
      <c r="AG94" s="4">
        <v>1.45</v>
      </c>
      <c r="AH94" s="4">
        <v>88.41</v>
      </c>
      <c r="AI94" s="10">
        <v>135.30000000000001</v>
      </c>
      <c r="AJ94" s="4">
        <v>1</v>
      </c>
      <c r="AK94" s="4"/>
      <c r="AL94" s="4">
        <v>1</v>
      </c>
    </row>
    <row r="95" spans="1:38" ht="14.25" customHeight="1" x14ac:dyDescent="0.35">
      <c r="A95" s="5">
        <v>165</v>
      </c>
      <c r="B95" s="5">
        <v>92</v>
      </c>
      <c r="C95" s="6">
        <f t="shared" si="5"/>
        <v>33.792470156106525</v>
      </c>
      <c r="D95" s="4">
        <v>3</v>
      </c>
      <c r="E95" s="4">
        <v>12.8</v>
      </c>
      <c r="F95" s="4">
        <v>11310</v>
      </c>
      <c r="G95" s="4">
        <v>241000</v>
      </c>
      <c r="H95" s="4">
        <v>62.4</v>
      </c>
      <c r="I95" s="4">
        <v>19.100000000000001</v>
      </c>
      <c r="J95" s="4">
        <v>3.27</v>
      </c>
      <c r="K95" s="4">
        <v>10.7</v>
      </c>
      <c r="L95" s="4">
        <v>1.03</v>
      </c>
      <c r="M95" s="4">
        <v>26.2</v>
      </c>
      <c r="N95" s="4"/>
      <c r="O95" s="4">
        <v>19.71</v>
      </c>
      <c r="P95" s="4">
        <v>56.1</v>
      </c>
      <c r="Q95" s="18">
        <v>1.0900000000000001</v>
      </c>
      <c r="R95" s="18">
        <v>78.174000000000007</v>
      </c>
      <c r="S95" s="4">
        <v>27</v>
      </c>
      <c r="T95" s="4">
        <v>41</v>
      </c>
      <c r="U95" s="4">
        <v>96</v>
      </c>
      <c r="V95" s="4">
        <v>1073</v>
      </c>
      <c r="W95" s="4">
        <v>0.3</v>
      </c>
      <c r="X95" s="4">
        <v>498.4</v>
      </c>
      <c r="Y95" s="10">
        <v>0.11</v>
      </c>
      <c r="Z95" s="4"/>
      <c r="AA95" s="4">
        <v>412.01</v>
      </c>
      <c r="AB95" s="4"/>
      <c r="AC95" s="4"/>
      <c r="AD95" s="4"/>
      <c r="AE95" s="4"/>
      <c r="AF95" s="4"/>
      <c r="AG95" s="4"/>
      <c r="AH95" s="4"/>
      <c r="AI95" s="10"/>
      <c r="AJ95" s="4">
        <v>0</v>
      </c>
      <c r="AK95" s="4"/>
      <c r="AL95" s="4">
        <v>0</v>
      </c>
    </row>
    <row r="96" spans="1:38" ht="14.25" customHeight="1" x14ac:dyDescent="0.35">
      <c r="A96" s="5">
        <v>152</v>
      </c>
      <c r="B96" s="5">
        <v>42</v>
      </c>
      <c r="C96" s="6">
        <f t="shared" si="5"/>
        <v>18.178670360110804</v>
      </c>
      <c r="D96" s="4">
        <v>4</v>
      </c>
      <c r="E96" s="4">
        <v>10.8</v>
      </c>
      <c r="F96" s="4">
        <v>11080</v>
      </c>
      <c r="G96" s="4">
        <v>370000</v>
      </c>
      <c r="H96" s="4">
        <v>87.2</v>
      </c>
      <c r="I96" s="4">
        <v>1.1000000000000001</v>
      </c>
      <c r="J96" s="4">
        <v>8.7799999999999994</v>
      </c>
      <c r="K96" s="4"/>
      <c r="L96" s="4"/>
      <c r="M96" s="4"/>
      <c r="N96" s="4"/>
      <c r="O96" s="4">
        <v>2.1800000000000002</v>
      </c>
      <c r="P96" s="4"/>
      <c r="Q96" s="18">
        <v>4.8600000000000003</v>
      </c>
      <c r="R96" s="18">
        <v>8.6739999999999995</v>
      </c>
      <c r="S96" s="4">
        <v>15</v>
      </c>
      <c r="T96" s="4">
        <v>7</v>
      </c>
      <c r="U96" s="4">
        <v>144</v>
      </c>
      <c r="V96" s="4"/>
      <c r="W96" s="4">
        <v>0.13</v>
      </c>
      <c r="X96" s="4">
        <v>817.3</v>
      </c>
      <c r="Y96" s="10">
        <v>0.28999999999999998</v>
      </c>
      <c r="Z96" s="4"/>
      <c r="AA96" s="4">
        <v>176.69023843804399</v>
      </c>
      <c r="AB96" s="4"/>
      <c r="AC96" s="4"/>
      <c r="AD96" s="4"/>
      <c r="AE96" s="4"/>
      <c r="AF96" s="4"/>
      <c r="AG96" s="4"/>
      <c r="AH96" s="4"/>
      <c r="AI96" s="10"/>
      <c r="AJ96" s="4">
        <v>1</v>
      </c>
      <c r="AK96" s="4"/>
      <c r="AL96" s="4">
        <v>1</v>
      </c>
    </row>
    <row r="97" spans="1:38" ht="14.25" customHeight="1" x14ac:dyDescent="0.35">
      <c r="A97" s="5">
        <v>168</v>
      </c>
      <c r="B97" s="5">
        <v>65</v>
      </c>
      <c r="C97" s="6">
        <f t="shared" si="5"/>
        <v>23.030045351473927</v>
      </c>
      <c r="D97" s="4">
        <v>4</v>
      </c>
      <c r="E97" s="4">
        <v>16.3</v>
      </c>
      <c r="F97" s="4">
        <v>8580</v>
      </c>
      <c r="G97" s="4">
        <v>271000</v>
      </c>
      <c r="H97" s="4">
        <v>63.3</v>
      </c>
      <c r="I97" s="4">
        <v>14.8</v>
      </c>
      <c r="J97" s="4">
        <v>4.28</v>
      </c>
      <c r="K97" s="4">
        <v>11.6</v>
      </c>
      <c r="L97" s="4">
        <v>1.1299999999999999</v>
      </c>
      <c r="M97" s="4">
        <v>25.6</v>
      </c>
      <c r="N97" s="4">
        <v>514.4</v>
      </c>
      <c r="O97" s="4">
        <v>0.97</v>
      </c>
      <c r="P97" s="4">
        <v>34</v>
      </c>
      <c r="Q97" s="18">
        <v>1.1100000000000001</v>
      </c>
      <c r="R97" s="18">
        <v>66.918999999999997</v>
      </c>
      <c r="S97" s="4">
        <v>85</v>
      </c>
      <c r="T97" s="4">
        <v>38</v>
      </c>
      <c r="U97" s="4">
        <v>141</v>
      </c>
      <c r="V97" s="4"/>
      <c r="W97" s="4">
        <v>12.27</v>
      </c>
      <c r="X97" s="4">
        <v>906.2</v>
      </c>
      <c r="Y97" s="10">
        <v>0.22</v>
      </c>
      <c r="Z97" s="4">
        <v>6.6</v>
      </c>
      <c r="AA97" s="4">
        <v>138.35</v>
      </c>
      <c r="AB97" s="4"/>
      <c r="AC97" s="4"/>
      <c r="AD97" s="4"/>
      <c r="AE97" s="4"/>
      <c r="AF97" s="4"/>
      <c r="AG97" s="4"/>
      <c r="AH97" s="4"/>
      <c r="AI97" s="10">
        <v>2959</v>
      </c>
      <c r="AJ97" s="4">
        <v>0</v>
      </c>
      <c r="AK97" s="4"/>
      <c r="AL97" s="4">
        <v>1</v>
      </c>
    </row>
    <row r="98" spans="1:38" ht="14.25" customHeight="1" x14ac:dyDescent="0.35">
      <c r="A98" s="5">
        <v>150</v>
      </c>
      <c r="B98" s="5">
        <v>50</v>
      </c>
      <c r="C98" s="6">
        <f t="shared" si="5"/>
        <v>22.222222222222221</v>
      </c>
      <c r="D98" s="4">
        <v>4</v>
      </c>
      <c r="E98" s="4">
        <v>13.1</v>
      </c>
      <c r="F98" s="4">
        <v>8960</v>
      </c>
      <c r="G98" s="4">
        <v>190000</v>
      </c>
      <c r="H98" s="4">
        <v>82.3</v>
      </c>
      <c r="I98" s="4">
        <v>13.5</v>
      </c>
      <c r="J98" s="4">
        <v>6.09</v>
      </c>
      <c r="K98" s="4">
        <v>10</v>
      </c>
      <c r="L98" s="4">
        <v>0.96</v>
      </c>
      <c r="M98" s="4">
        <v>20.8</v>
      </c>
      <c r="N98" s="4">
        <v>435</v>
      </c>
      <c r="O98" s="4">
        <v>1.96</v>
      </c>
      <c r="P98" s="4">
        <v>17.600000000000001</v>
      </c>
      <c r="Q98" s="18">
        <v>0.85</v>
      </c>
      <c r="R98" s="18">
        <v>82.165000000000006</v>
      </c>
      <c r="S98" s="4">
        <v>50</v>
      </c>
      <c r="T98" s="4">
        <v>30</v>
      </c>
      <c r="U98" s="4">
        <v>294</v>
      </c>
      <c r="V98" s="4">
        <v>658</v>
      </c>
      <c r="W98" s="4">
        <v>5.42</v>
      </c>
      <c r="X98" s="4">
        <v>1297</v>
      </c>
      <c r="Y98" s="10">
        <v>0.28000000000000003</v>
      </c>
      <c r="Z98" s="4">
        <v>9.6</v>
      </c>
      <c r="AA98" s="4">
        <v>193.36</v>
      </c>
      <c r="AB98" s="4"/>
      <c r="AC98" s="4"/>
      <c r="AD98" s="4"/>
      <c r="AE98" s="4"/>
      <c r="AF98" s="4"/>
      <c r="AG98" s="4"/>
      <c r="AH98" s="4"/>
      <c r="AI98" s="10">
        <v>135.5</v>
      </c>
      <c r="AJ98" s="4">
        <v>1</v>
      </c>
      <c r="AK98" s="4"/>
      <c r="AL98" s="4">
        <v>1</v>
      </c>
    </row>
    <row r="99" spans="1:38" ht="14.25" customHeight="1" x14ac:dyDescent="0.35">
      <c r="A99" s="5"/>
      <c r="B99" s="5"/>
      <c r="C99" s="6"/>
      <c r="D99" s="4"/>
      <c r="E99" s="4">
        <v>11.6</v>
      </c>
      <c r="F99" s="4">
        <v>9550</v>
      </c>
      <c r="G99" s="4">
        <v>290000</v>
      </c>
      <c r="H99" s="4">
        <v>75.400000000000006</v>
      </c>
      <c r="I99" s="4">
        <v>16</v>
      </c>
      <c r="J99" s="4">
        <v>4.71</v>
      </c>
      <c r="K99" s="4">
        <v>9.5</v>
      </c>
      <c r="L99" s="4">
        <v>0.91</v>
      </c>
      <c r="M99" s="4">
        <v>25.8</v>
      </c>
      <c r="N99" s="4">
        <v>419.3</v>
      </c>
      <c r="O99" s="4">
        <v>1.1599999999999999</v>
      </c>
      <c r="P99" s="4">
        <v>14</v>
      </c>
      <c r="Q99" s="18">
        <v>0.77</v>
      </c>
      <c r="R99" s="18">
        <v>106.562</v>
      </c>
      <c r="S99" s="4">
        <v>26</v>
      </c>
      <c r="T99" s="4">
        <v>14</v>
      </c>
      <c r="U99" s="4">
        <v>94</v>
      </c>
      <c r="V99" s="4"/>
      <c r="W99" s="4">
        <v>0.95</v>
      </c>
      <c r="X99" s="4">
        <v>36.39</v>
      </c>
      <c r="Y99" s="10">
        <v>7.0000000000000007E-2</v>
      </c>
      <c r="Z99" s="4">
        <v>5.8</v>
      </c>
      <c r="AA99" s="4">
        <v>191.86</v>
      </c>
      <c r="AB99" s="4"/>
      <c r="AC99" s="4"/>
      <c r="AD99" s="4"/>
      <c r="AE99" s="4"/>
      <c r="AF99" s="4"/>
      <c r="AG99" s="4"/>
      <c r="AH99" s="4"/>
      <c r="AI99" s="14">
        <v>62.11</v>
      </c>
      <c r="AJ99" s="4">
        <v>0</v>
      </c>
      <c r="AK99" s="4"/>
      <c r="AL99" s="4">
        <v>1</v>
      </c>
    </row>
    <row r="100" spans="1:38" ht="14.25" customHeight="1" x14ac:dyDescent="0.35">
      <c r="A100" s="5"/>
      <c r="B100" s="5"/>
      <c r="C100" s="6"/>
      <c r="D100" s="4"/>
      <c r="E100" s="4">
        <v>8.1999999999999993</v>
      </c>
      <c r="F100" s="4">
        <v>14560</v>
      </c>
      <c r="G100" s="4">
        <v>452000</v>
      </c>
      <c r="H100" s="4">
        <v>85.8</v>
      </c>
      <c r="I100" s="4">
        <v>9.1</v>
      </c>
      <c r="J100" s="4">
        <v>9.4600000000000009</v>
      </c>
      <c r="K100" s="4">
        <v>11.4</v>
      </c>
      <c r="L100" s="4">
        <v>1.1000000000000001</v>
      </c>
      <c r="M100" s="4">
        <v>28.9</v>
      </c>
      <c r="N100" s="4">
        <v>291.89999999999998</v>
      </c>
      <c r="O100" s="4">
        <v>5.69</v>
      </c>
      <c r="P100" s="4">
        <v>12.6</v>
      </c>
      <c r="Q100" s="18">
        <v>0.48</v>
      </c>
      <c r="R100" s="18">
        <v>140.78100000000001</v>
      </c>
      <c r="S100" s="4">
        <v>59</v>
      </c>
      <c r="T100" s="4">
        <v>12</v>
      </c>
      <c r="U100" s="4">
        <v>82</v>
      </c>
      <c r="V100" s="4">
        <v>828</v>
      </c>
      <c r="W100" s="4">
        <v>14.8</v>
      </c>
      <c r="X100" s="4">
        <v>391.6</v>
      </c>
      <c r="Y100" s="10">
        <v>0.06</v>
      </c>
      <c r="Z100" s="4"/>
      <c r="AA100" s="4">
        <v>154.22</v>
      </c>
      <c r="AB100" s="4"/>
      <c r="AC100" s="4"/>
      <c r="AD100" s="4"/>
      <c r="AE100" s="4"/>
      <c r="AF100" s="4"/>
      <c r="AG100" s="4"/>
      <c r="AH100" s="4"/>
      <c r="AI100" s="10"/>
      <c r="AJ100" s="4"/>
      <c r="AK100" s="4"/>
      <c r="AL100" s="4">
        <v>1</v>
      </c>
    </row>
    <row r="101" spans="1:38" ht="14.25" customHeight="1" x14ac:dyDescent="0.35">
      <c r="A101" s="5">
        <v>152</v>
      </c>
      <c r="B101" s="5">
        <v>49</v>
      </c>
      <c r="C101" s="6">
        <f t="shared" ref="C101:C107" si="6">(B101/(A101/100)^2)</f>
        <v>21.208448753462605</v>
      </c>
      <c r="D101" s="4">
        <v>2</v>
      </c>
      <c r="E101" s="4">
        <v>12.4</v>
      </c>
      <c r="F101" s="4">
        <v>15190</v>
      </c>
      <c r="G101" s="4">
        <v>332000</v>
      </c>
      <c r="H101" s="4">
        <v>86</v>
      </c>
      <c r="I101" s="4">
        <v>7.4</v>
      </c>
      <c r="J101" s="4">
        <v>11.67</v>
      </c>
      <c r="K101" s="4">
        <v>11.3</v>
      </c>
      <c r="L101" s="4">
        <v>1.0900000000000001</v>
      </c>
      <c r="M101" s="4">
        <v>29.4</v>
      </c>
      <c r="N101" s="4">
        <v>320.10000000000002</v>
      </c>
      <c r="O101" s="4">
        <v>0.56999999999999995</v>
      </c>
      <c r="P101" s="4">
        <v>226</v>
      </c>
      <c r="Q101" s="18">
        <v>3.31</v>
      </c>
      <c r="R101" s="18">
        <v>14.907999999999999</v>
      </c>
      <c r="S101" s="4">
        <v>11</v>
      </c>
      <c r="T101" s="4">
        <v>6</v>
      </c>
      <c r="U101" s="4">
        <v>253</v>
      </c>
      <c r="V101" s="4">
        <v>4.5999999999999996</v>
      </c>
      <c r="W101" s="4">
        <v>0.83</v>
      </c>
      <c r="X101" s="4">
        <v>655.1</v>
      </c>
      <c r="Y101" s="10">
        <v>0.11</v>
      </c>
      <c r="Z101" s="4">
        <v>11.6</v>
      </c>
      <c r="AA101" s="4">
        <v>126.67</v>
      </c>
      <c r="AB101" s="4"/>
      <c r="AC101" s="4"/>
      <c r="AD101" s="4"/>
      <c r="AE101" s="4"/>
      <c r="AF101" s="4">
        <v>74.23</v>
      </c>
      <c r="AG101" s="4">
        <v>3.68</v>
      </c>
      <c r="AH101" s="4">
        <v>122.83</v>
      </c>
      <c r="AI101" s="10"/>
      <c r="AJ101" s="4">
        <v>1</v>
      </c>
      <c r="AK101" s="4"/>
      <c r="AL101" s="4">
        <v>0</v>
      </c>
    </row>
    <row r="102" spans="1:38" ht="14.25" customHeight="1" x14ac:dyDescent="0.35">
      <c r="A102" s="5">
        <v>170</v>
      </c>
      <c r="B102" s="5">
        <v>90</v>
      </c>
      <c r="C102" s="6">
        <f t="shared" si="6"/>
        <v>31.141868512110729</v>
      </c>
      <c r="D102" s="4">
        <v>2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10"/>
      <c r="Z102" s="4"/>
      <c r="AA102" s="4">
        <v>236.61</v>
      </c>
      <c r="AB102" s="4"/>
      <c r="AC102" s="4"/>
      <c r="AD102" s="4"/>
      <c r="AE102" s="4"/>
      <c r="AF102" s="4"/>
      <c r="AG102" s="4"/>
      <c r="AH102" s="4"/>
      <c r="AI102" s="10"/>
      <c r="AJ102" s="4">
        <v>0</v>
      </c>
      <c r="AK102" s="4"/>
      <c r="AL102" s="4">
        <v>0</v>
      </c>
    </row>
    <row r="103" spans="1:38" ht="14.25" customHeight="1" x14ac:dyDescent="0.35">
      <c r="A103" s="5">
        <v>160</v>
      </c>
      <c r="B103" s="5">
        <v>200</v>
      </c>
      <c r="C103" s="6">
        <f t="shared" si="6"/>
        <v>78.124999999999986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18"/>
      <c r="R103" s="18"/>
      <c r="S103" s="4"/>
      <c r="T103" s="4"/>
      <c r="U103" s="4"/>
      <c r="V103" s="4"/>
      <c r="W103" s="4"/>
      <c r="X103" s="4"/>
      <c r="Y103" s="10"/>
      <c r="Z103" s="4"/>
      <c r="AA103" s="4">
        <v>113.94</v>
      </c>
      <c r="AB103" s="4"/>
      <c r="AC103" s="4"/>
      <c r="AD103" s="4"/>
      <c r="AE103" s="4"/>
      <c r="AF103" s="4"/>
      <c r="AG103" s="4"/>
      <c r="AH103" s="4"/>
      <c r="AI103" s="10"/>
      <c r="AJ103" s="4"/>
      <c r="AK103" s="4"/>
      <c r="AL103" s="4">
        <v>0</v>
      </c>
    </row>
    <row r="104" spans="1:38" ht="14.25" customHeight="1" x14ac:dyDescent="0.35">
      <c r="A104" s="5">
        <v>163</v>
      </c>
      <c r="B104" s="5">
        <v>68</v>
      </c>
      <c r="C104" s="6">
        <f t="shared" si="6"/>
        <v>25.59373706198954</v>
      </c>
      <c r="D104" s="4">
        <v>4</v>
      </c>
      <c r="E104" s="4">
        <v>13</v>
      </c>
      <c r="F104" s="4">
        <v>10470</v>
      </c>
      <c r="G104" s="4">
        <v>219000</v>
      </c>
      <c r="H104" s="4">
        <v>87</v>
      </c>
      <c r="I104" s="4">
        <v>10.6</v>
      </c>
      <c r="J104" s="4">
        <v>8.2100000000000009</v>
      </c>
      <c r="K104" s="4"/>
      <c r="L104" s="4"/>
      <c r="M104" s="4"/>
      <c r="N104" s="4">
        <v>404.8</v>
      </c>
      <c r="O104" s="4">
        <v>0.93</v>
      </c>
      <c r="P104" s="4"/>
      <c r="Q104" s="18">
        <v>0.76</v>
      </c>
      <c r="R104" s="19">
        <v>92.108999999999995</v>
      </c>
      <c r="S104" s="4">
        <v>45</v>
      </c>
      <c r="T104" s="4">
        <v>30</v>
      </c>
      <c r="U104" s="4"/>
      <c r="V104" s="4"/>
      <c r="W104" s="4">
        <v>13.6</v>
      </c>
      <c r="X104" s="4"/>
      <c r="Y104" s="10"/>
      <c r="Z104" s="4"/>
      <c r="AA104" s="4">
        <v>1764.08</v>
      </c>
      <c r="AB104" s="4"/>
      <c r="AC104" s="4"/>
      <c r="AD104" s="4"/>
      <c r="AE104" s="4"/>
      <c r="AF104" s="4">
        <v>8651.51</v>
      </c>
      <c r="AG104" s="4">
        <v>3.47</v>
      </c>
      <c r="AH104" s="4">
        <v>1213.73</v>
      </c>
      <c r="AI104" s="14">
        <v>49.82</v>
      </c>
      <c r="AJ104" s="4">
        <v>0</v>
      </c>
      <c r="AK104" s="4"/>
      <c r="AL104" s="4">
        <v>1</v>
      </c>
    </row>
    <row r="105" spans="1:38" ht="14.25" customHeight="1" x14ac:dyDescent="0.35">
      <c r="A105" s="5">
        <v>158</v>
      </c>
      <c r="B105" s="5">
        <v>55</v>
      </c>
      <c r="C105" s="6">
        <f t="shared" si="6"/>
        <v>22.031725684986377</v>
      </c>
      <c r="D105" s="4">
        <v>2</v>
      </c>
      <c r="E105" s="4">
        <v>10.9</v>
      </c>
      <c r="F105" s="4">
        <v>19000</v>
      </c>
      <c r="G105" s="4">
        <v>259000</v>
      </c>
      <c r="H105" s="4">
        <v>89.7</v>
      </c>
      <c r="I105" s="4">
        <v>5.8</v>
      </c>
      <c r="J105" s="4">
        <v>15.5</v>
      </c>
      <c r="K105" s="4"/>
      <c r="L105" s="4"/>
      <c r="M105" s="4"/>
      <c r="N105" s="4"/>
      <c r="O105" s="4"/>
      <c r="P105" s="4"/>
      <c r="Q105" s="18">
        <v>0.55000000000000004</v>
      </c>
      <c r="R105" s="18"/>
      <c r="S105" s="4">
        <v>46</v>
      </c>
      <c r="T105" s="4">
        <v>86</v>
      </c>
      <c r="U105" s="4">
        <v>150</v>
      </c>
      <c r="V105" s="4"/>
      <c r="W105" s="4">
        <v>19.7</v>
      </c>
      <c r="X105" s="4"/>
      <c r="Y105" s="10">
        <v>0.2</v>
      </c>
      <c r="Z105" s="4"/>
      <c r="AA105" s="4">
        <v>130.04</v>
      </c>
      <c r="AB105" s="4"/>
      <c r="AC105" s="4"/>
      <c r="AD105" s="4"/>
      <c r="AE105" s="4"/>
      <c r="AF105" s="4"/>
      <c r="AG105" s="4"/>
      <c r="AH105" s="4"/>
      <c r="AI105" s="10"/>
      <c r="AJ105" s="4">
        <v>0</v>
      </c>
      <c r="AK105" s="4"/>
      <c r="AL105" s="4">
        <v>0</v>
      </c>
    </row>
    <row r="106" spans="1:38" ht="14.25" customHeight="1" x14ac:dyDescent="0.35">
      <c r="A106" s="5">
        <v>170</v>
      </c>
      <c r="B106" s="5">
        <v>65</v>
      </c>
      <c r="C106" s="6">
        <f t="shared" si="6"/>
        <v>22.491349480968861</v>
      </c>
      <c r="D106" s="4">
        <v>1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18"/>
      <c r="R106" s="18"/>
      <c r="S106" s="4"/>
      <c r="T106" s="4"/>
      <c r="U106" s="4"/>
      <c r="V106" s="4"/>
      <c r="W106" s="4"/>
      <c r="X106" s="4"/>
      <c r="Y106" s="10"/>
      <c r="Z106" s="4"/>
      <c r="AA106" s="4"/>
      <c r="AB106" s="4"/>
      <c r="AC106" s="4"/>
      <c r="AD106" s="4"/>
      <c r="AE106" s="4"/>
      <c r="AF106" s="4">
        <v>96.27</v>
      </c>
      <c r="AG106" s="4">
        <v>3.64</v>
      </c>
      <c r="AH106" s="4">
        <v>104.07</v>
      </c>
      <c r="AI106" s="10"/>
      <c r="AJ106" s="4">
        <v>1</v>
      </c>
      <c r="AK106" s="4"/>
      <c r="AL106" s="4">
        <v>0</v>
      </c>
    </row>
    <row r="107" spans="1:38" ht="14.25" customHeight="1" x14ac:dyDescent="0.35">
      <c r="A107" s="5">
        <v>161</v>
      </c>
      <c r="B107" s="5">
        <v>55</v>
      </c>
      <c r="C107" s="6">
        <f t="shared" si="6"/>
        <v>21.218317194552675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18"/>
      <c r="R107" s="18"/>
      <c r="S107" s="4"/>
      <c r="T107" s="4"/>
      <c r="U107" s="4"/>
      <c r="V107" s="4"/>
      <c r="W107" s="4"/>
      <c r="X107" s="4"/>
      <c r="Y107" s="10"/>
      <c r="Z107" s="4"/>
      <c r="AA107" s="4">
        <v>101.77</v>
      </c>
      <c r="AB107" s="4"/>
      <c r="AC107" s="4"/>
      <c r="AD107" s="4"/>
      <c r="AE107" s="4"/>
      <c r="AF107" s="4">
        <v>312.31</v>
      </c>
      <c r="AG107" s="4"/>
      <c r="AH107" s="4">
        <v>82.17</v>
      </c>
      <c r="AI107" s="10"/>
      <c r="AJ107" s="4">
        <v>0</v>
      </c>
      <c r="AK107" s="4"/>
      <c r="AL107" s="4">
        <v>0</v>
      </c>
    </row>
    <row r="108" spans="1:38" ht="14.25" customHeight="1" x14ac:dyDescent="0.35">
      <c r="A108" s="5"/>
      <c r="B108" s="5"/>
      <c r="C108" s="6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18"/>
      <c r="R108" s="18"/>
      <c r="S108" s="4"/>
      <c r="T108" s="4"/>
      <c r="U108" s="4"/>
      <c r="V108" s="4"/>
      <c r="W108" s="4"/>
      <c r="X108" s="4"/>
      <c r="Y108" s="10"/>
      <c r="Z108" s="4"/>
      <c r="AA108" s="4">
        <v>239.33</v>
      </c>
      <c r="AB108" s="4"/>
      <c r="AC108" s="4"/>
      <c r="AD108" s="4"/>
      <c r="AE108" s="4"/>
      <c r="AF108" s="4"/>
      <c r="AG108" s="4"/>
      <c r="AH108" s="4"/>
      <c r="AI108" s="14">
        <v>1.5</v>
      </c>
      <c r="AJ108" s="4"/>
      <c r="AK108" s="4"/>
      <c r="AL108" s="4">
        <v>0</v>
      </c>
    </row>
    <row r="109" spans="1:38" ht="14.25" customHeight="1" x14ac:dyDescent="0.35">
      <c r="A109" s="5">
        <v>157</v>
      </c>
      <c r="B109" s="5">
        <v>43</v>
      </c>
      <c r="C109" s="6">
        <f t="shared" ref="C109:C130" si="7">(B109/(A109/100)^2)</f>
        <v>17.444926771877153</v>
      </c>
      <c r="D109" s="4">
        <v>4</v>
      </c>
      <c r="E109" s="4">
        <v>15.4</v>
      </c>
      <c r="F109" s="4">
        <v>7440</v>
      </c>
      <c r="G109" s="4">
        <v>321000</v>
      </c>
      <c r="H109" s="4">
        <v>79.7</v>
      </c>
      <c r="I109" s="4">
        <v>10.199999999999999</v>
      </c>
      <c r="J109" s="4">
        <v>7.8</v>
      </c>
      <c r="K109" s="4"/>
      <c r="L109" s="4"/>
      <c r="M109" s="4"/>
      <c r="N109" s="4"/>
      <c r="O109" s="4">
        <v>0.93</v>
      </c>
      <c r="P109" s="4"/>
      <c r="Q109" s="18">
        <v>1.21</v>
      </c>
      <c r="R109" s="18"/>
      <c r="S109" s="4"/>
      <c r="T109" s="4"/>
      <c r="U109" s="4">
        <v>105</v>
      </c>
      <c r="V109" s="4"/>
      <c r="W109" s="4">
        <v>0.19</v>
      </c>
      <c r="X109" s="4">
        <v>567.9</v>
      </c>
      <c r="Y109" s="10"/>
      <c r="Z109" s="4"/>
      <c r="AA109" s="4">
        <v>2.34</v>
      </c>
      <c r="AB109" s="4"/>
      <c r="AC109" s="4"/>
      <c r="AD109" s="4"/>
      <c r="AE109" s="4"/>
      <c r="AF109" s="4"/>
      <c r="AG109" s="4"/>
      <c r="AH109" s="4"/>
      <c r="AI109" s="10"/>
      <c r="AJ109" s="4">
        <v>0</v>
      </c>
      <c r="AK109" s="4"/>
      <c r="AL109" s="4">
        <v>0</v>
      </c>
    </row>
    <row r="110" spans="1:38" ht="14.25" customHeight="1" x14ac:dyDescent="0.35">
      <c r="A110" s="5">
        <v>155</v>
      </c>
      <c r="B110" s="5">
        <v>47</v>
      </c>
      <c r="C110" s="6">
        <f t="shared" si="7"/>
        <v>19.562955254942764</v>
      </c>
      <c r="D110" s="4">
        <v>4</v>
      </c>
      <c r="E110" s="4">
        <v>12.3</v>
      </c>
      <c r="F110" s="4">
        <v>8460</v>
      </c>
      <c r="G110" s="4">
        <v>297000</v>
      </c>
      <c r="H110" s="4">
        <v>86.9</v>
      </c>
      <c r="I110" s="4">
        <v>8.1999999999999993</v>
      </c>
      <c r="J110" s="4">
        <v>10.65</v>
      </c>
      <c r="K110" s="4"/>
      <c r="L110" s="4"/>
      <c r="M110" s="4"/>
      <c r="N110" s="4">
        <v>300.39999999999998</v>
      </c>
      <c r="O110" s="4">
        <v>2.57</v>
      </c>
      <c r="P110" s="4"/>
      <c r="Q110" s="18">
        <v>0.61</v>
      </c>
      <c r="R110" s="18"/>
      <c r="S110" s="4">
        <v>31</v>
      </c>
      <c r="T110" s="4">
        <v>24</v>
      </c>
      <c r="U110" s="4">
        <v>161</v>
      </c>
      <c r="V110" s="4">
        <v>731</v>
      </c>
      <c r="W110" s="4">
        <v>4.13</v>
      </c>
      <c r="X110" s="4">
        <v>392.6</v>
      </c>
      <c r="Y110" s="10">
        <v>0.06</v>
      </c>
      <c r="Z110" s="4"/>
      <c r="AA110" s="4">
        <v>137.33000000000001</v>
      </c>
      <c r="AB110" s="4"/>
      <c r="AC110" s="4"/>
      <c r="AD110" s="4"/>
      <c r="AE110" s="4"/>
      <c r="AF110" s="4"/>
      <c r="AG110" s="4"/>
      <c r="AH110" s="4"/>
      <c r="AI110" s="10"/>
      <c r="AJ110" s="4">
        <v>0</v>
      </c>
      <c r="AK110" s="4"/>
      <c r="AL110" s="4">
        <v>0</v>
      </c>
    </row>
    <row r="111" spans="1:38" ht="14.25" customHeight="1" x14ac:dyDescent="0.35">
      <c r="A111" s="5">
        <v>155</v>
      </c>
      <c r="B111" s="5">
        <v>60</v>
      </c>
      <c r="C111" s="6">
        <f t="shared" si="7"/>
        <v>24.973985431841829</v>
      </c>
      <c r="D111" s="4">
        <v>2</v>
      </c>
      <c r="E111" s="4">
        <v>14.2</v>
      </c>
      <c r="F111" s="4">
        <v>8350</v>
      </c>
      <c r="G111" s="4">
        <v>496000</v>
      </c>
      <c r="H111" s="4">
        <v>63.8</v>
      </c>
      <c r="I111" s="4">
        <v>21.6</v>
      </c>
      <c r="J111" s="4">
        <v>2.96</v>
      </c>
      <c r="K111" s="4"/>
      <c r="L111" s="4"/>
      <c r="M111" s="4"/>
      <c r="N111" s="4">
        <v>406.6</v>
      </c>
      <c r="O111" s="4">
        <v>0.44</v>
      </c>
      <c r="P111" s="4"/>
      <c r="Q111" s="18">
        <v>0.93</v>
      </c>
      <c r="R111" s="18"/>
      <c r="S111" s="4">
        <v>27</v>
      </c>
      <c r="T111" s="4">
        <v>20</v>
      </c>
      <c r="U111" s="4">
        <v>153</v>
      </c>
      <c r="V111" s="4">
        <v>628</v>
      </c>
      <c r="W111" s="4"/>
      <c r="X111" s="4">
        <v>44.19</v>
      </c>
      <c r="Y111" s="10"/>
      <c r="Z111" s="4"/>
      <c r="AA111" s="4">
        <v>0.43</v>
      </c>
      <c r="AB111" s="4"/>
      <c r="AC111" s="4"/>
      <c r="AD111" s="4"/>
      <c r="AE111" s="4"/>
      <c r="AF111" s="4"/>
      <c r="AG111" s="4"/>
      <c r="AH111" s="4"/>
      <c r="AI111" s="14">
        <v>60.94</v>
      </c>
      <c r="AJ111" s="4">
        <v>0</v>
      </c>
      <c r="AK111" s="4"/>
      <c r="AL111" s="4">
        <v>0</v>
      </c>
    </row>
    <row r="112" spans="1:38" ht="14.25" customHeight="1" x14ac:dyDescent="0.35">
      <c r="A112" s="5">
        <v>165</v>
      </c>
      <c r="B112" s="5">
        <v>65</v>
      </c>
      <c r="C112" s="6">
        <f t="shared" si="7"/>
        <v>23.875114784205696</v>
      </c>
      <c r="D112" s="4">
        <v>2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18"/>
      <c r="R112" s="18"/>
      <c r="S112" s="4"/>
      <c r="T112" s="4"/>
      <c r="U112" s="4"/>
      <c r="V112" s="4"/>
      <c r="W112" s="4"/>
      <c r="X112" s="4"/>
      <c r="Y112" s="10"/>
      <c r="Z112" s="4"/>
      <c r="AA112" s="4">
        <v>84.05</v>
      </c>
      <c r="AB112" s="4"/>
      <c r="AC112" s="4"/>
      <c r="AD112" s="4"/>
      <c r="AE112" s="4"/>
      <c r="AF112" s="4"/>
      <c r="AG112" s="4"/>
      <c r="AH112" s="4"/>
      <c r="AI112" s="10"/>
      <c r="AJ112" s="4">
        <v>0</v>
      </c>
      <c r="AK112" s="4"/>
      <c r="AL112" s="4">
        <v>0</v>
      </c>
    </row>
    <row r="113" spans="1:38" ht="14.25" customHeight="1" x14ac:dyDescent="0.35">
      <c r="A113" s="5">
        <v>170</v>
      </c>
      <c r="B113" s="5">
        <v>70</v>
      </c>
      <c r="C113" s="6">
        <f t="shared" si="7"/>
        <v>24.221453287197235</v>
      </c>
      <c r="D113" s="4">
        <v>4</v>
      </c>
      <c r="E113" s="4">
        <v>11.5</v>
      </c>
      <c r="F113" s="4">
        <v>7000</v>
      </c>
      <c r="G113" s="4">
        <v>549000</v>
      </c>
      <c r="H113" s="4">
        <v>93</v>
      </c>
      <c r="I113" s="4">
        <v>4.5</v>
      </c>
      <c r="J113" s="4">
        <v>20.6</v>
      </c>
      <c r="K113" s="4"/>
      <c r="L113" s="4"/>
      <c r="M113" s="4"/>
      <c r="N113" s="4"/>
      <c r="O113" s="4"/>
      <c r="P113" s="4"/>
      <c r="Q113" s="18">
        <v>0.9</v>
      </c>
      <c r="R113" s="19">
        <v>98.305000000000007</v>
      </c>
      <c r="S113" s="4">
        <v>20</v>
      </c>
      <c r="T113" s="4">
        <v>13</v>
      </c>
      <c r="U113" s="4">
        <v>162</v>
      </c>
      <c r="V113" s="4"/>
      <c r="W113" s="4">
        <v>8.18</v>
      </c>
      <c r="X113" s="4"/>
      <c r="Y113" s="10">
        <v>1.41</v>
      </c>
      <c r="Z113" s="4">
        <v>9.4</v>
      </c>
      <c r="AA113" s="4">
        <v>201.42</v>
      </c>
      <c r="AB113" s="4"/>
      <c r="AC113" s="4"/>
      <c r="AD113" s="4"/>
      <c r="AE113" s="4"/>
      <c r="AF113" s="4">
        <v>548.49</v>
      </c>
      <c r="AG113" s="4">
        <v>11.98</v>
      </c>
      <c r="AH113" s="4">
        <v>148.72</v>
      </c>
      <c r="AI113" s="14">
        <v>36.75</v>
      </c>
      <c r="AJ113" s="4">
        <v>1</v>
      </c>
      <c r="AK113" s="4"/>
      <c r="AL113" s="4">
        <v>0</v>
      </c>
    </row>
    <row r="114" spans="1:38" ht="14.25" customHeight="1" x14ac:dyDescent="0.35">
      <c r="A114" s="5">
        <v>160</v>
      </c>
      <c r="B114" s="5">
        <v>57</v>
      </c>
      <c r="C114" s="6">
        <f t="shared" si="7"/>
        <v>22.265624999999996</v>
      </c>
      <c r="D114" s="4">
        <v>3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18"/>
      <c r="R114" s="18"/>
      <c r="S114" s="4"/>
      <c r="T114" s="4"/>
      <c r="U114" s="4"/>
      <c r="V114" s="4"/>
      <c r="W114" s="4"/>
      <c r="X114" s="4"/>
      <c r="Y114" s="10"/>
      <c r="Z114" s="4"/>
      <c r="AA114" s="4">
        <v>101.77</v>
      </c>
      <c r="AB114" s="4"/>
      <c r="AC114" s="4"/>
      <c r="AD114" s="4"/>
      <c r="AE114" s="4"/>
      <c r="AF114" s="4"/>
      <c r="AG114" s="4"/>
      <c r="AH114" s="4"/>
      <c r="AI114" s="10"/>
      <c r="AJ114" s="4">
        <v>0</v>
      </c>
      <c r="AK114" s="4"/>
      <c r="AL114" s="4">
        <v>0</v>
      </c>
    </row>
    <row r="115" spans="1:38" ht="14.25" customHeight="1" x14ac:dyDescent="0.35">
      <c r="A115" s="5">
        <v>168</v>
      </c>
      <c r="B115" s="5">
        <v>75</v>
      </c>
      <c r="C115" s="6">
        <f t="shared" si="7"/>
        <v>26.573129251700685</v>
      </c>
      <c r="D115" s="4">
        <v>3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18"/>
      <c r="R115" s="18"/>
      <c r="S115" s="4"/>
      <c r="T115" s="4"/>
      <c r="U115" s="4"/>
      <c r="V115" s="4"/>
      <c r="W115" s="4"/>
      <c r="X115" s="4"/>
      <c r="Y115" s="10"/>
      <c r="Z115" s="4"/>
      <c r="AA115" s="4">
        <v>91.63</v>
      </c>
      <c r="AB115" s="4"/>
      <c r="AC115" s="4"/>
      <c r="AD115" s="4"/>
      <c r="AE115" s="4"/>
      <c r="AF115" s="4"/>
      <c r="AG115" s="4"/>
      <c r="AH115" s="4"/>
      <c r="AI115" s="10"/>
      <c r="AJ115" s="4">
        <v>0</v>
      </c>
      <c r="AK115" s="4"/>
      <c r="AL115" s="4">
        <v>0</v>
      </c>
    </row>
    <row r="116" spans="1:38" ht="14.25" customHeight="1" x14ac:dyDescent="0.35">
      <c r="A116" s="5">
        <v>168</v>
      </c>
      <c r="B116" s="5">
        <v>75</v>
      </c>
      <c r="C116" s="6">
        <f t="shared" si="7"/>
        <v>26.573129251700685</v>
      </c>
      <c r="D116" s="4">
        <v>2</v>
      </c>
      <c r="E116" s="4">
        <v>12.6</v>
      </c>
      <c r="F116" s="4">
        <v>7620</v>
      </c>
      <c r="G116" s="4">
        <v>378000</v>
      </c>
      <c r="H116" s="4">
        <v>59.8</v>
      </c>
      <c r="I116" s="4">
        <v>26.9</v>
      </c>
      <c r="J116" s="4">
        <v>2.2200000000000002</v>
      </c>
      <c r="K116" s="4"/>
      <c r="L116" s="4"/>
      <c r="M116" s="4"/>
      <c r="N116" s="4"/>
      <c r="O116" s="4">
        <v>2.9</v>
      </c>
      <c r="P116" s="4"/>
      <c r="Q116" s="18">
        <v>0.81</v>
      </c>
      <c r="R116" s="18">
        <v>88.790999999999997</v>
      </c>
      <c r="S116" s="4">
        <v>55</v>
      </c>
      <c r="T116" s="4">
        <v>32</v>
      </c>
      <c r="U116" s="4">
        <v>46</v>
      </c>
      <c r="V116" s="4">
        <v>679</v>
      </c>
      <c r="W116" s="4">
        <v>0.22</v>
      </c>
      <c r="X116" s="4"/>
      <c r="Y116" s="10">
        <v>0.03</v>
      </c>
      <c r="Z116" s="4"/>
      <c r="AA116" s="4">
        <v>537.53</v>
      </c>
      <c r="AB116" s="4"/>
      <c r="AC116" s="4"/>
      <c r="AD116" s="4"/>
      <c r="AE116" s="4"/>
      <c r="AF116" s="4"/>
      <c r="AG116" s="4"/>
      <c r="AH116" s="4"/>
      <c r="AI116" s="10"/>
      <c r="AJ116" s="4">
        <v>1</v>
      </c>
      <c r="AK116" s="4"/>
      <c r="AL116" s="4">
        <v>0</v>
      </c>
    </row>
    <row r="117" spans="1:38" ht="14.25" customHeight="1" x14ac:dyDescent="0.35">
      <c r="A117" s="5">
        <v>163</v>
      </c>
      <c r="B117" s="5">
        <v>75</v>
      </c>
      <c r="C117" s="6">
        <f t="shared" si="7"/>
        <v>28.228386465429637</v>
      </c>
      <c r="D117" s="4">
        <v>3</v>
      </c>
      <c r="E117" s="4">
        <v>10.199999999999999</v>
      </c>
      <c r="F117" s="4">
        <v>5000</v>
      </c>
      <c r="G117" s="4">
        <v>310000</v>
      </c>
      <c r="H117" s="4">
        <v>75.400000000000006</v>
      </c>
      <c r="I117" s="4">
        <v>18.8</v>
      </c>
      <c r="J117" s="4">
        <v>4</v>
      </c>
      <c r="K117" s="4"/>
      <c r="L117" s="4"/>
      <c r="M117" s="4"/>
      <c r="N117" s="4"/>
      <c r="O117" s="4">
        <v>2.25</v>
      </c>
      <c r="P117" s="4"/>
      <c r="Q117" s="18">
        <v>0.36</v>
      </c>
      <c r="R117" s="18"/>
      <c r="S117" s="4">
        <v>47</v>
      </c>
      <c r="T117" s="4">
        <v>36</v>
      </c>
      <c r="U117" s="4">
        <v>102</v>
      </c>
      <c r="V117" s="4"/>
      <c r="W117" s="4">
        <v>0.67</v>
      </c>
      <c r="X117" s="4">
        <v>130</v>
      </c>
      <c r="Y117" s="10">
        <v>7.0000000000000007E-2</v>
      </c>
      <c r="Z117" s="4">
        <v>5.2</v>
      </c>
      <c r="AA117" s="4">
        <v>130.88999999999999</v>
      </c>
      <c r="AB117" s="4"/>
      <c r="AC117" s="4"/>
      <c r="AD117" s="4"/>
      <c r="AE117" s="4"/>
      <c r="AF117" s="4"/>
      <c r="AG117" s="4"/>
      <c r="AH117" s="4"/>
      <c r="AI117" s="14">
        <v>216.7</v>
      </c>
      <c r="AJ117" s="4">
        <v>0</v>
      </c>
      <c r="AK117" s="4"/>
      <c r="AL117" s="4">
        <v>0</v>
      </c>
    </row>
    <row r="118" spans="1:38" ht="14.25" customHeight="1" x14ac:dyDescent="0.35">
      <c r="A118" s="5">
        <v>158</v>
      </c>
      <c r="B118" s="5">
        <v>70</v>
      </c>
      <c r="C118" s="6">
        <f t="shared" si="7"/>
        <v>28.040378144528116</v>
      </c>
      <c r="D118" s="4">
        <v>1</v>
      </c>
      <c r="E118" s="4">
        <v>12.7</v>
      </c>
      <c r="F118" s="4">
        <v>6300</v>
      </c>
      <c r="G118" s="4">
        <v>348000</v>
      </c>
      <c r="H118" s="4">
        <v>46.3</v>
      </c>
      <c r="I118" s="4">
        <v>42.4</v>
      </c>
      <c r="J118" s="4">
        <v>1.0900000000000001</v>
      </c>
      <c r="K118" s="4"/>
      <c r="L118" s="4"/>
      <c r="M118" s="4"/>
      <c r="N118" s="4"/>
      <c r="O118" s="4">
        <v>0.2</v>
      </c>
      <c r="P118" s="4"/>
      <c r="Q118" s="18">
        <v>1</v>
      </c>
      <c r="R118" s="18"/>
      <c r="S118" s="4">
        <v>42</v>
      </c>
      <c r="T118" s="4">
        <v>93</v>
      </c>
      <c r="U118" s="4">
        <v>173</v>
      </c>
      <c r="V118" s="4">
        <v>287</v>
      </c>
      <c r="W118" s="4">
        <v>0.36</v>
      </c>
      <c r="X118" s="4">
        <v>529.1</v>
      </c>
      <c r="Y118" s="10">
        <v>0.04</v>
      </c>
      <c r="Z118" s="4">
        <v>8.1999999999999993</v>
      </c>
      <c r="AA118" s="4">
        <v>234.44</v>
      </c>
      <c r="AB118" s="4"/>
      <c r="AC118" s="4"/>
      <c r="AD118" s="4"/>
      <c r="AE118" s="4"/>
      <c r="AF118" s="4">
        <v>1094.04</v>
      </c>
      <c r="AG118" s="4">
        <v>3.01</v>
      </c>
      <c r="AH118" s="4">
        <v>165.75</v>
      </c>
      <c r="AI118" s="14">
        <v>82.34</v>
      </c>
      <c r="AJ118" s="4">
        <v>1</v>
      </c>
      <c r="AK118" s="4"/>
      <c r="AL118" s="4">
        <v>0</v>
      </c>
    </row>
    <row r="119" spans="1:38" ht="14.25" customHeight="1" x14ac:dyDescent="0.35">
      <c r="A119" s="5">
        <v>172</v>
      </c>
      <c r="B119" s="5">
        <v>72</v>
      </c>
      <c r="C119" s="6">
        <f t="shared" si="7"/>
        <v>24.337479718766904</v>
      </c>
      <c r="D119" s="4">
        <v>2</v>
      </c>
      <c r="E119" s="4">
        <v>13.9</v>
      </c>
      <c r="F119" s="4">
        <v>8050</v>
      </c>
      <c r="G119" s="4">
        <v>69000</v>
      </c>
      <c r="H119" s="4">
        <v>65.8</v>
      </c>
      <c r="I119" s="4">
        <v>26.6</v>
      </c>
      <c r="J119" s="4">
        <v>2.48</v>
      </c>
      <c r="K119" s="4"/>
      <c r="L119" s="4"/>
      <c r="M119" s="4"/>
      <c r="N119" s="4"/>
      <c r="O119" s="4"/>
      <c r="P119" s="4"/>
      <c r="Q119" s="18">
        <v>1.03</v>
      </c>
      <c r="R119" s="18"/>
      <c r="S119" s="4">
        <v>144</v>
      </c>
      <c r="T119" s="4">
        <v>73</v>
      </c>
      <c r="U119" s="4"/>
      <c r="V119" s="4"/>
      <c r="W119" s="4"/>
      <c r="X119" s="4"/>
      <c r="Y119" s="10">
        <v>1.43</v>
      </c>
      <c r="Z119" s="4"/>
      <c r="AA119" s="4">
        <v>0.51</v>
      </c>
      <c r="AB119" s="4"/>
      <c r="AC119" s="4"/>
      <c r="AD119" s="4"/>
      <c r="AE119" s="4"/>
      <c r="AF119" s="4">
        <v>197.32</v>
      </c>
      <c r="AG119" s="4"/>
      <c r="AH119" s="4">
        <v>8.34</v>
      </c>
      <c r="AI119" s="10"/>
      <c r="AJ119" s="4">
        <v>0</v>
      </c>
      <c r="AK119" s="4"/>
      <c r="AL119" s="4">
        <v>0</v>
      </c>
    </row>
    <row r="120" spans="1:38" ht="14.25" customHeight="1" x14ac:dyDescent="0.35">
      <c r="A120" s="5">
        <v>160</v>
      </c>
      <c r="B120" s="5">
        <v>65</v>
      </c>
      <c r="C120" s="6">
        <f t="shared" si="7"/>
        <v>25.390624999999996</v>
      </c>
      <c r="D120" s="4">
        <v>2</v>
      </c>
      <c r="E120" s="4">
        <v>11.5</v>
      </c>
      <c r="F120" s="4">
        <v>13370</v>
      </c>
      <c r="G120" s="4">
        <v>403000</v>
      </c>
      <c r="H120" s="4">
        <v>84.9</v>
      </c>
      <c r="I120" s="4">
        <v>11.2</v>
      </c>
      <c r="J120" s="4">
        <v>7.57</v>
      </c>
      <c r="K120" s="4"/>
      <c r="L120" s="4"/>
      <c r="M120" s="4"/>
      <c r="N120" s="4">
        <v>502</v>
      </c>
      <c r="O120" s="4">
        <v>0.47</v>
      </c>
      <c r="P120" s="4"/>
      <c r="Q120" s="18">
        <v>1.1399999999999999</v>
      </c>
      <c r="R120" s="19">
        <v>55.628999999999998</v>
      </c>
      <c r="S120" s="4">
        <v>29</v>
      </c>
      <c r="T120" s="4">
        <v>30</v>
      </c>
      <c r="U120" s="4">
        <v>570</v>
      </c>
      <c r="V120" s="4"/>
      <c r="W120" s="4">
        <v>14.22</v>
      </c>
      <c r="X120" s="4"/>
      <c r="Y120" s="10">
        <v>0.28000000000000003</v>
      </c>
      <c r="Z120" s="4"/>
      <c r="AA120" s="4">
        <v>127.09</v>
      </c>
      <c r="AB120" s="4"/>
      <c r="AC120" s="4"/>
      <c r="AD120" s="4"/>
      <c r="AE120" s="4"/>
      <c r="AF120" s="4">
        <v>989.23</v>
      </c>
      <c r="AG120" s="4">
        <v>5.3</v>
      </c>
      <c r="AH120" s="4">
        <v>88.41</v>
      </c>
      <c r="AI120" s="10"/>
      <c r="AJ120" s="4">
        <v>1</v>
      </c>
      <c r="AK120" s="4"/>
      <c r="AL120" s="4">
        <v>0</v>
      </c>
    </row>
    <row r="121" spans="1:38" ht="14.25" customHeight="1" x14ac:dyDescent="0.35">
      <c r="A121" s="5">
        <v>165</v>
      </c>
      <c r="B121" s="5">
        <v>70</v>
      </c>
      <c r="C121" s="6">
        <f t="shared" si="7"/>
        <v>25.711662075298442</v>
      </c>
      <c r="D121" s="4">
        <v>2</v>
      </c>
      <c r="E121" s="4">
        <v>13.1</v>
      </c>
      <c r="F121" s="4">
        <v>13510</v>
      </c>
      <c r="G121" s="4">
        <v>258000</v>
      </c>
      <c r="H121" s="4">
        <v>86.6</v>
      </c>
      <c r="I121" s="4">
        <v>7.8</v>
      </c>
      <c r="J121" s="4">
        <v>11.04</v>
      </c>
      <c r="K121" s="4"/>
      <c r="L121" s="4"/>
      <c r="M121" s="4"/>
      <c r="N121" s="4"/>
      <c r="O121" s="4">
        <v>1.57</v>
      </c>
      <c r="P121" s="4"/>
      <c r="Q121" s="18">
        <v>1.39</v>
      </c>
      <c r="R121" s="18">
        <v>40.802999999999997</v>
      </c>
      <c r="S121" s="4">
        <v>37</v>
      </c>
      <c r="T121" s="4">
        <v>27</v>
      </c>
      <c r="U121" s="4">
        <v>299</v>
      </c>
      <c r="V121" s="4">
        <v>960</v>
      </c>
      <c r="W121" s="4">
        <v>4.59</v>
      </c>
      <c r="X121" s="4">
        <v>585.6</v>
      </c>
      <c r="Y121" s="10">
        <v>0.48</v>
      </c>
      <c r="Z121" s="4">
        <v>8.1</v>
      </c>
      <c r="AA121" s="4">
        <v>991.56</v>
      </c>
      <c r="AB121" s="4"/>
      <c r="AC121" s="4"/>
      <c r="AD121" s="4"/>
      <c r="AE121" s="4"/>
      <c r="AF121" s="4"/>
      <c r="AG121" s="4"/>
      <c r="AH121" s="4"/>
      <c r="AI121" s="10"/>
      <c r="AJ121" s="4">
        <v>1</v>
      </c>
      <c r="AK121" s="4"/>
      <c r="AL121" s="4">
        <v>0</v>
      </c>
    </row>
    <row r="122" spans="1:38" ht="14.25" customHeight="1" x14ac:dyDescent="0.35">
      <c r="A122" s="5">
        <v>160</v>
      </c>
      <c r="B122" s="5">
        <v>65</v>
      </c>
      <c r="C122" s="6">
        <f t="shared" si="7"/>
        <v>25.390624999999996</v>
      </c>
      <c r="D122" s="4">
        <v>4</v>
      </c>
      <c r="E122" s="4">
        <v>11.5</v>
      </c>
      <c r="F122" s="4">
        <v>14420</v>
      </c>
      <c r="G122" s="4">
        <v>83000</v>
      </c>
      <c r="H122" s="4">
        <v>92.6</v>
      </c>
      <c r="I122" s="4">
        <v>3.9</v>
      </c>
      <c r="J122" s="4">
        <v>23.8</v>
      </c>
      <c r="K122" s="4"/>
      <c r="L122" s="4"/>
      <c r="M122" s="4"/>
      <c r="N122" s="4"/>
      <c r="O122" s="4"/>
      <c r="P122" s="4"/>
      <c r="Q122" s="18">
        <v>1.1499999999999999</v>
      </c>
      <c r="R122" s="19">
        <v>70.245999999999995</v>
      </c>
      <c r="S122" s="4">
        <v>54</v>
      </c>
      <c r="T122" s="4">
        <v>44</v>
      </c>
      <c r="U122" s="4">
        <v>268</v>
      </c>
      <c r="V122" s="4">
        <v>714</v>
      </c>
      <c r="W122" s="4">
        <v>20.3</v>
      </c>
      <c r="X122" s="4"/>
      <c r="Y122" s="10">
        <v>0.18</v>
      </c>
      <c r="Z122" s="4"/>
      <c r="AA122" s="4">
        <v>148.80000000000001</v>
      </c>
      <c r="AB122" s="4"/>
      <c r="AC122" s="4"/>
      <c r="AD122" s="4"/>
      <c r="AE122" s="4"/>
      <c r="AF122" s="4">
        <v>823.58</v>
      </c>
      <c r="AG122" s="4">
        <v>142.6</v>
      </c>
      <c r="AH122" s="4">
        <v>101.86</v>
      </c>
      <c r="AI122" s="10"/>
      <c r="AJ122" s="4">
        <v>1</v>
      </c>
      <c r="AK122" s="4"/>
      <c r="AL122" s="4">
        <v>0</v>
      </c>
    </row>
    <row r="123" spans="1:38" ht="14.25" customHeight="1" x14ac:dyDescent="0.35">
      <c r="A123" s="5">
        <v>150</v>
      </c>
      <c r="B123" s="5">
        <v>47</v>
      </c>
      <c r="C123" s="6">
        <f t="shared" si="7"/>
        <v>20.888888888888889</v>
      </c>
      <c r="D123" s="4">
        <v>2</v>
      </c>
      <c r="E123" s="4">
        <v>11.3</v>
      </c>
      <c r="F123" s="4">
        <v>6740</v>
      </c>
      <c r="G123" s="4">
        <v>196000</v>
      </c>
      <c r="H123" s="4">
        <v>74.099999999999994</v>
      </c>
      <c r="I123" s="4">
        <v>15.6</v>
      </c>
      <c r="J123" s="4">
        <v>4.75</v>
      </c>
      <c r="K123" s="4"/>
      <c r="L123" s="4"/>
      <c r="M123" s="4"/>
      <c r="N123" s="4"/>
      <c r="O123" s="4"/>
      <c r="P123" s="4"/>
      <c r="Q123" s="18">
        <v>3.53</v>
      </c>
      <c r="R123" s="19">
        <v>15.005000000000001</v>
      </c>
      <c r="S123" s="4"/>
      <c r="T123" s="4"/>
      <c r="U123" s="4"/>
      <c r="V123" s="4"/>
      <c r="W123" s="4"/>
      <c r="X123" s="4"/>
      <c r="Y123" s="10"/>
      <c r="Z123" s="4"/>
      <c r="AA123" s="4">
        <v>86.19</v>
      </c>
      <c r="AB123" s="4"/>
      <c r="AC123" s="4"/>
      <c r="AD123" s="4"/>
      <c r="AE123" s="4"/>
      <c r="AF123" s="4"/>
      <c r="AG123" s="4"/>
      <c r="AH123" s="4"/>
      <c r="AI123" s="10"/>
      <c r="AJ123" s="4">
        <v>0</v>
      </c>
      <c r="AK123" s="4"/>
      <c r="AL123" s="4">
        <v>0</v>
      </c>
    </row>
    <row r="124" spans="1:38" ht="14.25" customHeight="1" x14ac:dyDescent="0.35">
      <c r="A124" s="5">
        <v>160</v>
      </c>
      <c r="B124" s="5">
        <v>60</v>
      </c>
      <c r="C124" s="6">
        <f t="shared" si="7"/>
        <v>23.437499999999996</v>
      </c>
      <c r="D124" s="4">
        <v>1</v>
      </c>
      <c r="E124" s="4">
        <v>10.8</v>
      </c>
      <c r="F124" s="4">
        <v>12630</v>
      </c>
      <c r="G124" s="4">
        <v>376000</v>
      </c>
      <c r="H124" s="4">
        <v>73</v>
      </c>
      <c r="I124" s="4">
        <v>17</v>
      </c>
      <c r="J124" s="4">
        <v>4.4000000000000004</v>
      </c>
      <c r="K124" s="4"/>
      <c r="L124" s="4"/>
      <c r="M124" s="4"/>
      <c r="N124" s="4">
        <v>261</v>
      </c>
      <c r="O124" s="4">
        <v>0.4</v>
      </c>
      <c r="P124" s="4"/>
      <c r="Q124" s="18">
        <v>1</v>
      </c>
      <c r="R124" s="18">
        <v>73.7</v>
      </c>
      <c r="S124" s="4">
        <v>99</v>
      </c>
      <c r="T124" s="4">
        <v>248</v>
      </c>
      <c r="U124" s="4">
        <v>118</v>
      </c>
      <c r="V124" s="4"/>
      <c r="W124" s="4"/>
      <c r="X124" s="4">
        <v>693.4</v>
      </c>
      <c r="Y124" s="10">
        <v>0.03</v>
      </c>
      <c r="Z124" s="4"/>
      <c r="AA124" s="4">
        <v>244.26</v>
      </c>
      <c r="AB124" s="4"/>
      <c r="AC124" s="4"/>
      <c r="AD124" s="4"/>
      <c r="AE124" s="4"/>
      <c r="AF124" s="4"/>
      <c r="AG124" s="4"/>
      <c r="AH124" s="4"/>
      <c r="AI124" s="14">
        <v>65.83</v>
      </c>
      <c r="AJ124" s="4">
        <v>0</v>
      </c>
      <c r="AK124" s="4"/>
      <c r="AL124" s="4">
        <v>0</v>
      </c>
    </row>
    <row r="125" spans="1:38" ht="14.25" customHeight="1" x14ac:dyDescent="0.35">
      <c r="A125" s="5">
        <v>160</v>
      </c>
      <c r="B125" s="5">
        <v>60</v>
      </c>
      <c r="C125" s="6">
        <f t="shared" si="7"/>
        <v>23.437499999999996</v>
      </c>
      <c r="D125" s="4">
        <v>4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18"/>
      <c r="R125" s="18"/>
      <c r="S125" s="4"/>
      <c r="T125" s="4"/>
      <c r="U125" s="4"/>
      <c r="V125" s="4"/>
      <c r="W125" s="4"/>
      <c r="X125" s="4"/>
      <c r="Y125" s="10"/>
      <c r="Z125" s="4"/>
      <c r="AA125" s="4">
        <v>216.89</v>
      </c>
      <c r="AB125" s="4"/>
      <c r="AC125" s="4"/>
      <c r="AD125" s="4"/>
      <c r="AE125" s="4"/>
      <c r="AF125" s="4">
        <v>3669.42</v>
      </c>
      <c r="AG125" s="4">
        <v>1.87</v>
      </c>
      <c r="AH125" s="4">
        <v>148.1</v>
      </c>
      <c r="AI125" s="14">
        <v>199.7</v>
      </c>
      <c r="AJ125" s="4">
        <v>1</v>
      </c>
      <c r="AK125" s="4"/>
      <c r="AL125" s="4">
        <v>0</v>
      </c>
    </row>
    <row r="126" spans="1:38" ht="14.25" customHeight="1" x14ac:dyDescent="0.35">
      <c r="A126" s="5">
        <v>160</v>
      </c>
      <c r="B126" s="5">
        <v>62</v>
      </c>
      <c r="C126" s="6">
        <f t="shared" si="7"/>
        <v>24.218749999999996</v>
      </c>
      <c r="D126" s="4">
        <v>3</v>
      </c>
      <c r="E126" s="4">
        <v>10.5</v>
      </c>
      <c r="F126" s="4">
        <v>11490</v>
      </c>
      <c r="G126" s="4">
        <v>359000</v>
      </c>
      <c r="H126" s="4">
        <v>82</v>
      </c>
      <c r="I126" s="4">
        <v>11</v>
      </c>
      <c r="J126" s="4">
        <v>7.48</v>
      </c>
      <c r="K126" s="4"/>
      <c r="L126" s="4"/>
      <c r="M126" s="4"/>
      <c r="N126" s="4">
        <v>356.6</v>
      </c>
      <c r="O126" s="4">
        <v>2.63</v>
      </c>
      <c r="P126" s="4"/>
      <c r="Q126" s="18">
        <v>0.92</v>
      </c>
      <c r="R126" s="18">
        <v>90.715999999999994</v>
      </c>
      <c r="S126" s="4">
        <v>45</v>
      </c>
      <c r="T126" s="4">
        <v>57</v>
      </c>
      <c r="U126" s="4">
        <v>101</v>
      </c>
      <c r="V126" s="4">
        <v>316</v>
      </c>
      <c r="W126" s="4">
        <v>1.63</v>
      </c>
      <c r="X126" s="4">
        <v>31.8</v>
      </c>
      <c r="Y126" s="10">
        <v>0.05</v>
      </c>
      <c r="Z126" s="4"/>
      <c r="AA126" s="4">
        <v>136.47</v>
      </c>
      <c r="AB126" s="4"/>
      <c r="AC126" s="4"/>
      <c r="AD126" s="4"/>
      <c r="AE126" s="4"/>
      <c r="AF126" s="4"/>
      <c r="AG126" s="4"/>
      <c r="AH126" s="4"/>
      <c r="AI126" s="10"/>
      <c r="AJ126" s="4">
        <v>0</v>
      </c>
      <c r="AK126" s="4"/>
      <c r="AL126" s="4">
        <v>0</v>
      </c>
    </row>
    <row r="127" spans="1:38" ht="14.25" customHeight="1" x14ac:dyDescent="0.35">
      <c r="A127" s="5">
        <v>164</v>
      </c>
      <c r="B127" s="5">
        <v>63</v>
      </c>
      <c r="C127" s="6">
        <f t="shared" si="7"/>
        <v>23.423557406305775</v>
      </c>
      <c r="D127" s="4">
        <v>2</v>
      </c>
      <c r="E127" s="4">
        <v>13.2</v>
      </c>
      <c r="F127" s="4">
        <v>8200</v>
      </c>
      <c r="G127" s="4">
        <v>631000</v>
      </c>
      <c r="H127" s="4">
        <v>51.2</v>
      </c>
      <c r="I127" s="4">
        <v>33.200000000000003</v>
      </c>
      <c r="J127" s="4">
        <v>1.54</v>
      </c>
      <c r="K127" s="4"/>
      <c r="L127" s="4"/>
      <c r="M127" s="4"/>
      <c r="N127" s="4">
        <v>328</v>
      </c>
      <c r="O127" s="4">
        <v>1.45</v>
      </c>
      <c r="P127" s="4"/>
      <c r="Q127" s="18">
        <v>0.9</v>
      </c>
      <c r="R127" s="19">
        <v>119124</v>
      </c>
      <c r="S127" s="4">
        <v>50</v>
      </c>
      <c r="T127" s="4">
        <v>157</v>
      </c>
      <c r="U127" s="4">
        <v>103</v>
      </c>
      <c r="V127" s="4">
        <v>345</v>
      </c>
      <c r="W127" s="4">
        <v>0.25</v>
      </c>
      <c r="X127" s="4">
        <v>328</v>
      </c>
      <c r="Y127" s="10">
        <v>0.11</v>
      </c>
      <c r="Z127" s="4"/>
      <c r="AA127" s="4">
        <v>99.48</v>
      </c>
      <c r="AB127" s="4"/>
      <c r="AC127" s="4"/>
      <c r="AD127" s="4"/>
      <c r="AE127" s="4"/>
      <c r="AF127" s="4"/>
      <c r="AG127" s="4"/>
      <c r="AH127" s="4"/>
      <c r="AI127" s="10"/>
      <c r="AJ127" s="4">
        <v>0</v>
      </c>
      <c r="AK127" s="4"/>
      <c r="AL127" s="4">
        <v>0</v>
      </c>
    </row>
    <row r="128" spans="1:38" ht="14.25" customHeight="1" x14ac:dyDescent="0.35">
      <c r="A128" s="5">
        <v>162</v>
      </c>
      <c r="B128" s="5">
        <v>60</v>
      </c>
      <c r="C128" s="6">
        <f t="shared" si="7"/>
        <v>22.862368541380881</v>
      </c>
      <c r="D128" s="4">
        <v>3</v>
      </c>
      <c r="E128" s="4">
        <v>15.4</v>
      </c>
      <c r="F128" s="4">
        <v>7130</v>
      </c>
      <c r="G128" s="4">
        <v>254000</v>
      </c>
      <c r="H128" s="4">
        <v>86.6</v>
      </c>
      <c r="I128" s="4">
        <v>9.3000000000000007</v>
      </c>
      <c r="J128" s="4">
        <v>9.36</v>
      </c>
      <c r="K128" s="4"/>
      <c r="L128" s="4"/>
      <c r="M128" s="4"/>
      <c r="N128" s="4">
        <v>555.29999999999995</v>
      </c>
      <c r="O128" s="4">
        <v>0.43</v>
      </c>
      <c r="P128" s="4"/>
      <c r="Q128" s="18">
        <v>1.18</v>
      </c>
      <c r="R128" s="18">
        <v>54.113</v>
      </c>
      <c r="S128" s="4">
        <v>108</v>
      </c>
      <c r="T128" s="4">
        <v>156</v>
      </c>
      <c r="U128" s="4">
        <v>132</v>
      </c>
      <c r="V128" s="4">
        <v>516</v>
      </c>
      <c r="W128" s="4">
        <v>5.26</v>
      </c>
      <c r="X128" s="4">
        <v>1692</v>
      </c>
      <c r="Y128" s="10">
        <v>0.18</v>
      </c>
      <c r="Z128" s="4"/>
      <c r="AA128" s="4">
        <v>124.99</v>
      </c>
      <c r="AB128" s="4"/>
      <c r="AC128" s="4"/>
      <c r="AD128" s="4"/>
      <c r="AE128" s="4"/>
      <c r="AF128" s="4"/>
      <c r="AG128" s="4"/>
      <c r="AH128" s="4"/>
      <c r="AI128" s="14">
        <v>20.65</v>
      </c>
      <c r="AJ128" s="4">
        <v>0</v>
      </c>
      <c r="AK128" s="4"/>
      <c r="AL128" s="4">
        <v>0</v>
      </c>
    </row>
    <row r="129" spans="1:38" ht="14.25" customHeight="1" x14ac:dyDescent="0.35">
      <c r="A129" s="5">
        <v>165</v>
      </c>
      <c r="B129" s="5">
        <v>75</v>
      </c>
      <c r="C129" s="6">
        <f t="shared" si="7"/>
        <v>27.548209366391188</v>
      </c>
      <c r="D129" s="4">
        <v>2</v>
      </c>
      <c r="E129" s="4">
        <v>14.7</v>
      </c>
      <c r="F129" s="4">
        <v>3810</v>
      </c>
      <c r="G129" s="4">
        <v>194000</v>
      </c>
      <c r="H129" s="4">
        <v>61.4</v>
      </c>
      <c r="I129" s="4">
        <v>24.7</v>
      </c>
      <c r="J129" s="4">
        <v>2.4900000000000002</v>
      </c>
      <c r="K129" s="4"/>
      <c r="L129" s="4"/>
      <c r="M129" s="4"/>
      <c r="N129" s="4">
        <v>411.2</v>
      </c>
      <c r="O129" s="4">
        <v>0.72</v>
      </c>
      <c r="P129" s="4"/>
      <c r="Q129" s="18">
        <v>0.82</v>
      </c>
      <c r="R129" s="18">
        <v>122.904</v>
      </c>
      <c r="S129" s="4">
        <v>110</v>
      </c>
      <c r="T129" s="4">
        <v>242</v>
      </c>
      <c r="U129" s="4">
        <v>87</v>
      </c>
      <c r="V129" s="4">
        <v>455</v>
      </c>
      <c r="W129" s="4">
        <v>2.67</v>
      </c>
      <c r="X129" s="4">
        <v>2028</v>
      </c>
      <c r="Y129" s="10">
        <v>0.35</v>
      </c>
      <c r="Z129" s="4"/>
      <c r="AA129" s="4">
        <v>147.01</v>
      </c>
      <c r="AB129" s="4"/>
      <c r="AC129" s="4"/>
      <c r="AD129" s="4"/>
      <c r="AE129" s="4"/>
      <c r="AF129" s="4"/>
      <c r="AG129" s="4"/>
      <c r="AH129" s="4"/>
      <c r="AI129" s="10"/>
      <c r="AJ129" s="4">
        <v>0</v>
      </c>
      <c r="AK129" s="4"/>
      <c r="AL129" s="4">
        <v>0</v>
      </c>
    </row>
    <row r="130" spans="1:38" ht="14.25" customHeight="1" x14ac:dyDescent="0.35">
      <c r="A130" s="5">
        <v>161</v>
      </c>
      <c r="B130" s="5">
        <v>62</v>
      </c>
      <c r="C130" s="6">
        <f t="shared" si="7"/>
        <v>23.9188302920412</v>
      </c>
      <c r="D130" s="4">
        <v>3</v>
      </c>
      <c r="E130" s="4">
        <v>14.2</v>
      </c>
      <c r="F130" s="4">
        <v>9200</v>
      </c>
      <c r="G130" s="4">
        <v>189000</v>
      </c>
      <c r="H130" s="4">
        <v>81.2</v>
      </c>
      <c r="I130" s="4">
        <v>10.3</v>
      </c>
      <c r="J130" s="4">
        <v>7.86</v>
      </c>
      <c r="K130" s="4"/>
      <c r="L130" s="4"/>
      <c r="M130" s="4"/>
      <c r="N130" s="4">
        <v>367.4</v>
      </c>
      <c r="O130" s="4">
        <v>1.74</v>
      </c>
      <c r="P130" s="4"/>
      <c r="Q130" s="18">
        <v>0.95</v>
      </c>
      <c r="R130" s="18">
        <v>96.960999999999999</v>
      </c>
      <c r="S130" s="4">
        <v>155</v>
      </c>
      <c r="T130" s="4">
        <v>89</v>
      </c>
      <c r="U130" s="4">
        <v>161</v>
      </c>
      <c r="V130" s="4">
        <v>844</v>
      </c>
      <c r="W130" s="4">
        <v>6.48</v>
      </c>
      <c r="X130" s="4"/>
      <c r="Y130" s="10">
        <v>0.37</v>
      </c>
      <c r="Z130" s="4"/>
      <c r="AA130" s="4">
        <v>1139.6500000000001</v>
      </c>
      <c r="AB130" s="4"/>
      <c r="AC130" s="4"/>
      <c r="AD130" s="4"/>
      <c r="AE130" s="4"/>
      <c r="AF130" s="4"/>
      <c r="AG130" s="4"/>
      <c r="AH130" s="4"/>
      <c r="AI130" s="10"/>
      <c r="AJ130" s="4">
        <v>0</v>
      </c>
      <c r="AK130" s="4"/>
      <c r="AL130" s="4">
        <v>0</v>
      </c>
    </row>
    <row r="131" spans="1:38" ht="14.25" customHeight="1" x14ac:dyDescent="0.35">
      <c r="A131" s="5"/>
      <c r="B131" s="5"/>
      <c r="C131" s="6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18"/>
      <c r="R131" s="18"/>
      <c r="S131" s="4"/>
      <c r="T131" s="4"/>
      <c r="U131" s="4"/>
      <c r="V131" s="4"/>
      <c r="W131" s="4"/>
      <c r="X131" s="4"/>
      <c r="Y131" s="10"/>
      <c r="Z131" s="4"/>
      <c r="AA131" s="4">
        <v>483.2</v>
      </c>
      <c r="AB131" s="4"/>
      <c r="AC131" s="4"/>
      <c r="AD131" s="4"/>
      <c r="AE131" s="4"/>
      <c r="AF131" s="4"/>
      <c r="AG131" s="4"/>
      <c r="AH131" s="4"/>
      <c r="AI131" s="10"/>
      <c r="AJ131" s="4"/>
      <c r="AK131" s="4"/>
      <c r="AL131" s="4"/>
    </row>
    <row r="132" spans="1:38" ht="14.25" customHeight="1" x14ac:dyDescent="0.35">
      <c r="A132" s="5"/>
      <c r="B132" s="5"/>
      <c r="C132" s="6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18"/>
      <c r="R132" s="18"/>
      <c r="S132" s="4"/>
      <c r="T132" s="4"/>
      <c r="U132" s="4"/>
      <c r="V132" s="4"/>
      <c r="W132" s="4"/>
      <c r="X132" s="4"/>
      <c r="Y132" s="10"/>
      <c r="Z132" s="4"/>
      <c r="AA132" s="4">
        <v>274.68</v>
      </c>
      <c r="AB132" s="4"/>
      <c r="AC132" s="4"/>
      <c r="AD132" s="4"/>
      <c r="AE132" s="4"/>
      <c r="AF132" s="4"/>
      <c r="AG132" s="4"/>
      <c r="AH132" s="4"/>
      <c r="AI132" s="14">
        <v>24.08</v>
      </c>
      <c r="AJ132" s="4"/>
      <c r="AK132" s="4"/>
      <c r="AL132" s="4"/>
    </row>
    <row r="133" spans="1:38" ht="14.25" customHeight="1" x14ac:dyDescent="0.35">
      <c r="A133" s="5">
        <v>158</v>
      </c>
      <c r="B133" s="5">
        <v>62</v>
      </c>
      <c r="C133" s="6">
        <f>(B133/(A133/100)^2)</f>
        <v>24.835763499439189</v>
      </c>
      <c r="D133" s="4">
        <v>4</v>
      </c>
      <c r="E133" s="4">
        <v>10</v>
      </c>
      <c r="F133" s="4">
        <v>2850</v>
      </c>
      <c r="G133" s="4">
        <v>109000</v>
      </c>
      <c r="H133" s="4">
        <v>71.5</v>
      </c>
      <c r="I133" s="4">
        <v>23.5</v>
      </c>
      <c r="J133" s="20">
        <f>H133/I133</f>
        <v>3.0425531914893615</v>
      </c>
      <c r="K133" s="20"/>
      <c r="L133" s="20"/>
      <c r="M133" s="20"/>
      <c r="N133" s="4"/>
      <c r="O133" s="4"/>
      <c r="P133" s="4"/>
      <c r="Q133" s="18"/>
      <c r="R133" s="18"/>
      <c r="S133" s="4"/>
      <c r="T133" s="4"/>
      <c r="U133" s="4"/>
      <c r="V133" s="4"/>
      <c r="W133" s="4"/>
      <c r="X133" s="4"/>
      <c r="Y133" s="10"/>
      <c r="Z133" s="4"/>
      <c r="AA133" s="4">
        <v>122.91</v>
      </c>
      <c r="AB133" s="4"/>
      <c r="AC133" s="4"/>
      <c r="AD133" s="4"/>
      <c r="AE133" s="4"/>
      <c r="AF133" s="4"/>
      <c r="AG133" s="4"/>
      <c r="AH133" s="4"/>
      <c r="AI133" s="10"/>
      <c r="AJ133" s="4">
        <v>0</v>
      </c>
      <c r="AK133" s="4"/>
      <c r="AL133" s="4">
        <v>0</v>
      </c>
    </row>
    <row r="134" spans="1:38" ht="14.25" customHeight="1" x14ac:dyDescent="0.35">
      <c r="A134" s="5">
        <v>154</v>
      </c>
      <c r="B134" s="5">
        <v>57</v>
      </c>
      <c r="C134" s="6">
        <f>(B134/(A134/100)^2)</f>
        <v>24.034407151290267</v>
      </c>
      <c r="D134" s="4">
        <v>1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18"/>
      <c r="R134" s="18"/>
      <c r="S134" s="4"/>
      <c r="T134" s="4"/>
      <c r="U134" s="4"/>
      <c r="V134" s="4"/>
      <c r="W134" s="4"/>
      <c r="X134" s="4"/>
      <c r="Y134" s="10"/>
      <c r="Z134" s="4"/>
      <c r="AA134" s="4">
        <v>2073.29</v>
      </c>
      <c r="AB134" s="4"/>
      <c r="AC134" s="4"/>
      <c r="AD134" s="4"/>
      <c r="AE134" s="4"/>
      <c r="AF134" s="4">
        <v>8700.1200000000008</v>
      </c>
      <c r="AG134" s="4"/>
      <c r="AH134" s="4"/>
      <c r="AI134" s="10"/>
      <c r="AJ134" s="4">
        <v>0</v>
      </c>
      <c r="AK134" s="4"/>
      <c r="AL134" s="4">
        <v>0</v>
      </c>
    </row>
    <row r="135" spans="1:38" ht="14.25" customHeight="1" x14ac:dyDescent="0.35">
      <c r="A135" s="5"/>
      <c r="B135" s="5"/>
      <c r="C135" s="6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18"/>
      <c r="R135" s="18"/>
      <c r="S135" s="4"/>
      <c r="T135" s="4"/>
      <c r="U135" s="4"/>
      <c r="V135" s="4"/>
      <c r="W135" s="4"/>
      <c r="X135" s="4"/>
      <c r="Y135" s="10"/>
      <c r="Z135" s="4"/>
      <c r="AA135" s="4">
        <v>1321.34</v>
      </c>
      <c r="AB135" s="4"/>
      <c r="AC135" s="4"/>
      <c r="AD135" s="4"/>
      <c r="AE135" s="4"/>
      <c r="AF135" s="4"/>
      <c r="AG135" s="4"/>
      <c r="AH135" s="4"/>
      <c r="AI135" s="10"/>
      <c r="AJ135" s="4"/>
      <c r="AK135" s="4"/>
      <c r="AL135" s="4"/>
    </row>
    <row r="136" spans="1:38" ht="14.25" customHeight="1" x14ac:dyDescent="0.35">
      <c r="A136" s="5"/>
      <c r="B136" s="5"/>
      <c r="C136" s="6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18"/>
      <c r="R136" s="18"/>
      <c r="S136" s="4"/>
      <c r="T136" s="4"/>
      <c r="U136" s="4"/>
      <c r="V136" s="4"/>
      <c r="W136" s="4"/>
      <c r="X136" s="4"/>
      <c r="Y136" s="10"/>
      <c r="Z136" s="4"/>
      <c r="AA136" s="4">
        <v>316.89</v>
      </c>
      <c r="AB136" s="4"/>
      <c r="AC136" s="4"/>
      <c r="AD136" s="4"/>
      <c r="AE136" s="4"/>
      <c r="AF136" s="4"/>
      <c r="AG136" s="4"/>
      <c r="AH136" s="4"/>
      <c r="AI136" s="10"/>
      <c r="AJ136" s="4"/>
      <c r="AK136" s="4"/>
      <c r="AL136" s="4"/>
    </row>
    <row r="137" spans="1:38" ht="14.25" customHeight="1" x14ac:dyDescent="0.35">
      <c r="A137" s="5"/>
      <c r="B137" s="5"/>
      <c r="C137" s="6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18"/>
      <c r="R137" s="18"/>
      <c r="S137" s="4"/>
      <c r="T137" s="4"/>
      <c r="U137" s="4"/>
      <c r="V137" s="4"/>
      <c r="W137" s="4"/>
      <c r="X137" s="4"/>
      <c r="Y137" s="10"/>
      <c r="Z137" s="4"/>
      <c r="AA137" s="4">
        <v>77.09</v>
      </c>
      <c r="AB137" s="4"/>
      <c r="AC137" s="4"/>
      <c r="AD137" s="4"/>
      <c r="AE137" s="4"/>
      <c r="AF137" s="4"/>
      <c r="AG137" s="4"/>
      <c r="AH137" s="4"/>
      <c r="AI137" s="10"/>
      <c r="AJ137" s="4"/>
      <c r="AK137" s="4"/>
      <c r="AL137" s="4"/>
    </row>
    <row r="138" spans="1:38" ht="14.25" customHeight="1" x14ac:dyDescent="0.35">
      <c r="A138" s="5">
        <v>156</v>
      </c>
      <c r="B138" s="5">
        <v>65</v>
      </c>
      <c r="C138" s="6">
        <f>(B138/(A138/100)^2)</f>
        <v>26.709401709401707</v>
      </c>
      <c r="D138" s="4">
        <v>2</v>
      </c>
      <c r="E138" s="4">
        <v>12.6</v>
      </c>
      <c r="F138" s="4">
        <v>4010</v>
      </c>
      <c r="G138" s="4">
        <v>253000</v>
      </c>
      <c r="H138" s="4">
        <v>53.7</v>
      </c>
      <c r="I138" s="4">
        <v>37.4</v>
      </c>
      <c r="J138" s="4">
        <v>1.43</v>
      </c>
      <c r="K138" s="4"/>
      <c r="L138" s="4"/>
      <c r="M138" s="4"/>
      <c r="N138" s="4">
        <v>351.5</v>
      </c>
      <c r="O138" s="4">
        <v>0.89</v>
      </c>
      <c r="P138" s="4"/>
      <c r="Q138" s="18">
        <v>0.65</v>
      </c>
      <c r="R138" s="18">
        <v>95.15</v>
      </c>
      <c r="S138" s="4">
        <v>26</v>
      </c>
      <c r="T138" s="4">
        <v>24</v>
      </c>
      <c r="U138" s="4">
        <v>81</v>
      </c>
      <c r="V138" s="4">
        <v>473</v>
      </c>
      <c r="W138" s="4">
        <v>0.61</v>
      </c>
      <c r="X138" s="4">
        <v>187.6</v>
      </c>
      <c r="Y138" s="10">
        <v>0.09</v>
      </c>
      <c r="Z138" s="4">
        <v>5.8</v>
      </c>
      <c r="AA138" s="4">
        <v>96.83</v>
      </c>
      <c r="AB138" s="4"/>
      <c r="AC138" s="4"/>
      <c r="AD138" s="4"/>
      <c r="AE138" s="4"/>
      <c r="AF138" s="4"/>
      <c r="AG138" s="4"/>
      <c r="AH138" s="4"/>
      <c r="AI138" s="10"/>
      <c r="AJ138" s="4">
        <v>0</v>
      </c>
      <c r="AK138" s="4"/>
      <c r="AL138" s="4">
        <v>0</v>
      </c>
    </row>
    <row r="139" spans="1:38" ht="14.25" customHeight="1" x14ac:dyDescent="0.35">
      <c r="A139" s="5">
        <v>159</v>
      </c>
      <c r="B139" s="5">
        <v>56</v>
      </c>
      <c r="C139" s="6">
        <f>(B139/(A139/100)^2)</f>
        <v>22.151022507021082</v>
      </c>
      <c r="D139" s="4">
        <v>2</v>
      </c>
      <c r="E139" s="4">
        <v>12.5</v>
      </c>
      <c r="F139" s="4">
        <v>22240</v>
      </c>
      <c r="G139" s="4">
        <v>59000</v>
      </c>
      <c r="H139" s="4">
        <v>87.5</v>
      </c>
      <c r="I139" s="4">
        <v>7.6</v>
      </c>
      <c r="J139" s="4">
        <v>11.44</v>
      </c>
      <c r="K139" s="4"/>
      <c r="L139" s="4"/>
      <c r="M139" s="4"/>
      <c r="N139" s="4"/>
      <c r="O139" s="4"/>
      <c r="P139" s="4"/>
      <c r="Q139" s="18">
        <v>0.65</v>
      </c>
      <c r="R139" s="18">
        <v>93.822999999999993</v>
      </c>
      <c r="S139" s="4">
        <v>52</v>
      </c>
      <c r="T139" s="4">
        <v>39</v>
      </c>
      <c r="U139" s="4">
        <v>247</v>
      </c>
      <c r="V139" s="4">
        <v>692</v>
      </c>
      <c r="W139" s="4">
        <v>16.46</v>
      </c>
      <c r="X139" s="4"/>
      <c r="Y139" s="10">
        <v>1.05</v>
      </c>
      <c r="Z139" s="4"/>
      <c r="AA139" s="4">
        <v>163.43</v>
      </c>
      <c r="AB139" s="4"/>
      <c r="AC139" s="4"/>
      <c r="AD139" s="4"/>
      <c r="AE139" s="4"/>
      <c r="AF139" s="4"/>
      <c r="AG139" s="4"/>
      <c r="AH139" s="4"/>
      <c r="AI139" s="10"/>
      <c r="AJ139" s="4">
        <v>1</v>
      </c>
      <c r="AK139" s="4"/>
      <c r="AL139" s="4">
        <v>0</v>
      </c>
    </row>
    <row r="140" spans="1:38" ht="14.25" customHeight="1" x14ac:dyDescent="0.35">
      <c r="A140" s="5">
        <v>165</v>
      </c>
      <c r="B140" s="5">
        <v>62</v>
      </c>
      <c r="C140" s="6">
        <f>(B140/(A140/100)^2)</f>
        <v>22.77318640955005</v>
      </c>
      <c r="D140" s="4">
        <v>2</v>
      </c>
      <c r="E140" s="4">
        <v>11.5</v>
      </c>
      <c r="F140" s="4">
        <v>6790</v>
      </c>
      <c r="G140" s="4">
        <v>276000</v>
      </c>
      <c r="H140" s="4">
        <v>55.6</v>
      </c>
      <c r="I140" s="4">
        <v>34.299999999999997</v>
      </c>
      <c r="J140" s="4">
        <v>1.62</v>
      </c>
      <c r="K140" s="4"/>
      <c r="L140" s="4"/>
      <c r="M140" s="4"/>
      <c r="N140" s="4">
        <v>24.2</v>
      </c>
      <c r="O140" s="4">
        <v>0.46</v>
      </c>
      <c r="P140" s="4"/>
      <c r="Q140" s="18">
        <v>0.77</v>
      </c>
      <c r="R140" s="18">
        <v>86.921999999999997</v>
      </c>
      <c r="S140" s="4">
        <v>94</v>
      </c>
      <c r="T140" s="4">
        <v>123</v>
      </c>
      <c r="U140" s="4">
        <v>224</v>
      </c>
      <c r="V140" s="4"/>
      <c r="W140" s="4">
        <v>1.1499999999999999</v>
      </c>
      <c r="X140" s="4"/>
      <c r="Y140" s="10">
        <v>0.16</v>
      </c>
      <c r="Z140" s="4"/>
      <c r="AA140" s="4">
        <v>80.89</v>
      </c>
      <c r="AB140" s="4"/>
      <c r="AC140" s="4"/>
      <c r="AD140" s="4"/>
      <c r="AE140" s="4"/>
      <c r="AF140" s="4">
        <v>748.97</v>
      </c>
      <c r="AG140" s="4">
        <v>2.0299999999999998</v>
      </c>
      <c r="AH140" s="4">
        <v>102.41</v>
      </c>
      <c r="AI140" s="10"/>
      <c r="AJ140" s="4">
        <v>1</v>
      </c>
      <c r="AK140" s="4"/>
      <c r="AL140" s="4">
        <v>0</v>
      </c>
    </row>
    <row r="141" spans="1:38" ht="14.25" customHeight="1" x14ac:dyDescent="0.35">
      <c r="A141" s="5">
        <v>160</v>
      </c>
      <c r="B141" s="5">
        <v>50</v>
      </c>
      <c r="C141" s="6">
        <f>(B141/(A141/100)^2)</f>
        <v>19.531249999999996</v>
      </c>
      <c r="D141" s="4">
        <v>1</v>
      </c>
      <c r="E141" s="4">
        <v>14.8</v>
      </c>
      <c r="F141" s="4">
        <v>5850</v>
      </c>
      <c r="G141" s="4">
        <v>227000</v>
      </c>
      <c r="H141" s="4">
        <v>70.7</v>
      </c>
      <c r="I141" s="4">
        <v>18.8</v>
      </c>
      <c r="J141" s="4">
        <v>3.76</v>
      </c>
      <c r="K141" s="4"/>
      <c r="L141" s="4"/>
      <c r="M141" s="4"/>
      <c r="N141" s="4"/>
      <c r="O141" s="4"/>
      <c r="P141" s="4"/>
      <c r="Q141" s="18">
        <v>21.3</v>
      </c>
      <c r="R141" s="18">
        <v>75.372</v>
      </c>
      <c r="S141" s="4">
        <v>74</v>
      </c>
      <c r="T141" s="4">
        <v>55</v>
      </c>
      <c r="U141" s="4">
        <v>90</v>
      </c>
      <c r="V141" s="4"/>
      <c r="W141" s="4">
        <v>0.66</v>
      </c>
      <c r="X141" s="4">
        <v>997.9</v>
      </c>
      <c r="Y141" s="10"/>
      <c r="Z141" s="4"/>
      <c r="AA141" s="4">
        <v>351.91</v>
      </c>
      <c r="AB141" s="4"/>
      <c r="AC141" s="4"/>
      <c r="AD141" s="4"/>
      <c r="AE141" s="4"/>
      <c r="AF141" s="4"/>
      <c r="AG141" s="4"/>
      <c r="AH141" s="4"/>
      <c r="AI141" s="10"/>
      <c r="AJ141" s="4">
        <v>1</v>
      </c>
      <c r="AK141" s="4"/>
      <c r="AL141" s="4">
        <v>0</v>
      </c>
    </row>
    <row r="142" spans="1:38" ht="14.25" customHeight="1" x14ac:dyDescent="0.35">
      <c r="A142" s="5"/>
      <c r="B142" s="5"/>
      <c r="C142" s="6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18"/>
      <c r="R142" s="18"/>
      <c r="S142" s="4"/>
      <c r="T142" s="4"/>
      <c r="U142" s="4"/>
      <c r="V142" s="4"/>
      <c r="W142" s="4"/>
      <c r="X142" s="4"/>
      <c r="Y142" s="10"/>
      <c r="Z142" s="4"/>
      <c r="AA142" s="4">
        <v>2416.86</v>
      </c>
      <c r="AB142" s="4"/>
      <c r="AC142" s="4"/>
      <c r="AD142" s="4"/>
      <c r="AE142" s="4"/>
      <c r="AF142" s="4"/>
      <c r="AG142" s="4"/>
      <c r="AH142" s="4"/>
      <c r="AI142" s="14">
        <v>184.6</v>
      </c>
      <c r="AJ142" s="4"/>
      <c r="AK142" s="4"/>
      <c r="AL142" s="4"/>
    </row>
    <row r="143" spans="1:38" ht="14.25" customHeight="1" x14ac:dyDescent="0.35">
      <c r="A143" s="5"/>
      <c r="B143" s="5"/>
      <c r="C143" s="6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18"/>
      <c r="R143" s="18"/>
      <c r="S143" s="4"/>
      <c r="T143" s="4"/>
      <c r="U143" s="4"/>
      <c r="V143" s="4"/>
      <c r="W143" s="4"/>
      <c r="X143" s="4"/>
      <c r="Y143" s="10"/>
      <c r="Z143" s="4"/>
      <c r="AA143" s="4">
        <v>121.67</v>
      </c>
      <c r="AB143" s="4"/>
      <c r="AC143" s="4"/>
      <c r="AD143" s="4"/>
      <c r="AE143" s="4"/>
      <c r="AF143" s="4"/>
      <c r="AG143" s="4"/>
      <c r="AH143" s="4"/>
      <c r="AI143" s="10"/>
      <c r="AJ143" s="4"/>
      <c r="AK143" s="4"/>
      <c r="AL143" s="4"/>
    </row>
    <row r="144" spans="1:38" ht="14.25" customHeight="1" x14ac:dyDescent="0.35">
      <c r="A144" s="5">
        <v>155</v>
      </c>
      <c r="B144" s="5">
        <v>60</v>
      </c>
      <c r="C144" s="6">
        <f>(B144/(A144/100)^2)</f>
        <v>24.973985431841829</v>
      </c>
      <c r="D144" s="4">
        <v>2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18"/>
      <c r="R144" s="18"/>
      <c r="S144" s="4"/>
      <c r="T144" s="4"/>
      <c r="U144" s="4"/>
      <c r="V144" s="4"/>
      <c r="W144" s="4"/>
      <c r="X144" s="4"/>
      <c r="Y144" s="10"/>
      <c r="Z144" s="4"/>
      <c r="AA144" s="4">
        <v>555.91</v>
      </c>
      <c r="AB144" s="4"/>
      <c r="AC144" s="4"/>
      <c r="AD144" s="4"/>
      <c r="AE144" s="4"/>
      <c r="AF144" s="4"/>
      <c r="AG144" s="4"/>
      <c r="AH144" s="4"/>
      <c r="AI144" s="10"/>
      <c r="AJ144" s="4">
        <v>0</v>
      </c>
      <c r="AK144" s="4"/>
      <c r="AL144" s="4">
        <v>0</v>
      </c>
    </row>
    <row r="145" spans="1:38" ht="14.25" customHeight="1" x14ac:dyDescent="0.35">
      <c r="A145" s="5"/>
      <c r="B145" s="5"/>
      <c r="C145" s="6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18"/>
      <c r="R145" s="18"/>
      <c r="S145" s="4"/>
      <c r="T145" s="4"/>
      <c r="U145" s="4"/>
      <c r="V145" s="4"/>
      <c r="W145" s="4"/>
      <c r="X145" s="4"/>
      <c r="Y145" s="10"/>
      <c r="Z145" s="4"/>
      <c r="AA145" s="4">
        <v>125.83</v>
      </c>
      <c r="AB145" s="4"/>
      <c r="AC145" s="4"/>
      <c r="AD145" s="4"/>
      <c r="AE145" s="4"/>
      <c r="AF145" s="4"/>
      <c r="AG145" s="4"/>
      <c r="AH145" s="4"/>
      <c r="AI145" s="10"/>
      <c r="AJ145" s="4"/>
      <c r="AK145" s="4"/>
      <c r="AL145" s="4"/>
    </row>
    <row r="146" spans="1:38" ht="14.25" customHeight="1" x14ac:dyDescent="0.35">
      <c r="A146" s="5">
        <v>160</v>
      </c>
      <c r="B146" s="5">
        <v>60</v>
      </c>
      <c r="C146" s="6">
        <f>(B146/(A146/100)^2)</f>
        <v>23.437499999999996</v>
      </c>
      <c r="D146" s="4">
        <v>2</v>
      </c>
      <c r="E146" s="4">
        <v>15</v>
      </c>
      <c r="F146" s="4">
        <v>17700</v>
      </c>
      <c r="G146" s="4">
        <v>237000</v>
      </c>
      <c r="H146" s="4">
        <v>89.7</v>
      </c>
      <c r="I146" s="4">
        <v>7.5</v>
      </c>
      <c r="J146" s="4">
        <v>11.93</v>
      </c>
      <c r="K146" s="4"/>
      <c r="L146" s="4"/>
      <c r="M146" s="4"/>
      <c r="N146" s="4">
        <v>216.6</v>
      </c>
      <c r="O146" s="4">
        <v>0.24</v>
      </c>
      <c r="P146" s="4"/>
      <c r="Q146" s="18">
        <v>0.86</v>
      </c>
      <c r="R146" s="18">
        <v>99.7</v>
      </c>
      <c r="S146" s="4">
        <v>23</v>
      </c>
      <c r="T146" s="4">
        <v>20</v>
      </c>
      <c r="U146" s="4">
        <v>118</v>
      </c>
      <c r="V146" s="4">
        <v>37.799999999999997</v>
      </c>
      <c r="W146" s="4">
        <v>0.11</v>
      </c>
      <c r="X146" s="4">
        <v>166.9</v>
      </c>
      <c r="Y146" s="10">
        <v>0.05</v>
      </c>
      <c r="Z146" s="4"/>
      <c r="AA146" s="4">
        <v>105.24</v>
      </c>
      <c r="AB146" s="4"/>
      <c r="AC146" s="4"/>
      <c r="AD146" s="4"/>
      <c r="AE146" s="4"/>
      <c r="AF146" s="4"/>
      <c r="AG146" s="4"/>
      <c r="AH146" s="4"/>
      <c r="AI146" s="10"/>
      <c r="AJ146" s="4">
        <v>0</v>
      </c>
      <c r="AK146" s="4"/>
      <c r="AL146" s="4">
        <v>0</v>
      </c>
    </row>
    <row r="147" spans="1:38" ht="14.25" customHeight="1" x14ac:dyDescent="0.35">
      <c r="A147" s="5"/>
      <c r="B147" s="5"/>
      <c r="C147" s="6"/>
      <c r="D147" s="4">
        <v>2</v>
      </c>
      <c r="E147" s="4">
        <v>12.1</v>
      </c>
      <c r="F147" s="4">
        <v>48100</v>
      </c>
      <c r="G147" s="4">
        <v>469000</v>
      </c>
      <c r="H147" s="4">
        <v>93.1</v>
      </c>
      <c r="I147" s="4">
        <v>3.1</v>
      </c>
      <c r="J147" s="4">
        <v>30.48</v>
      </c>
      <c r="K147" s="4"/>
      <c r="L147" s="4"/>
      <c r="M147" s="4"/>
      <c r="N147" s="4">
        <v>470.6</v>
      </c>
      <c r="O147" s="4">
        <v>6.22</v>
      </c>
      <c r="P147" s="4"/>
      <c r="Q147" s="18">
        <v>0.86</v>
      </c>
      <c r="R147" s="18">
        <v>99</v>
      </c>
      <c r="S147" s="4">
        <v>47</v>
      </c>
      <c r="T147" s="4">
        <v>92</v>
      </c>
      <c r="U147" s="4">
        <v>47</v>
      </c>
      <c r="V147" s="4"/>
      <c r="W147" s="4">
        <v>27.74</v>
      </c>
      <c r="X147" s="4"/>
      <c r="Y147" s="10">
        <v>7.43</v>
      </c>
      <c r="Z147" s="4"/>
      <c r="AA147" s="4">
        <v>291.62</v>
      </c>
      <c r="AB147" s="4"/>
      <c r="AC147" s="4"/>
      <c r="AD147" s="4"/>
      <c r="AE147" s="4"/>
      <c r="AF147" s="4"/>
      <c r="AG147" s="4"/>
      <c r="AH147" s="4"/>
      <c r="AI147" s="10"/>
      <c r="AJ147" s="4">
        <v>0</v>
      </c>
      <c r="AK147" s="4"/>
      <c r="AL147" s="4">
        <v>0</v>
      </c>
    </row>
    <row r="148" spans="1:38" ht="14.25" customHeight="1" x14ac:dyDescent="0.35">
      <c r="A148" s="5">
        <v>160</v>
      </c>
      <c r="B148" s="5">
        <v>85</v>
      </c>
      <c r="C148" s="6">
        <f>(B148/(A148/100)^2)</f>
        <v>33.203124999999993</v>
      </c>
      <c r="D148" s="4">
        <v>2</v>
      </c>
      <c r="E148" s="4">
        <v>12.3</v>
      </c>
      <c r="F148" s="4">
        <v>13600</v>
      </c>
      <c r="G148" s="4">
        <v>281000</v>
      </c>
      <c r="H148" s="4">
        <v>77.400000000000006</v>
      </c>
      <c r="I148" s="4">
        <v>13.5</v>
      </c>
      <c r="J148" s="4">
        <v>5.72</v>
      </c>
      <c r="K148" s="4"/>
      <c r="L148" s="4"/>
      <c r="M148" s="4"/>
      <c r="N148" s="4">
        <v>427</v>
      </c>
      <c r="O148" s="4">
        <v>2.2999999999999998</v>
      </c>
      <c r="P148" s="4"/>
      <c r="Q148" s="18">
        <v>4.95</v>
      </c>
      <c r="R148" s="18">
        <v>9.1010000000000009</v>
      </c>
      <c r="S148" s="4">
        <v>21</v>
      </c>
      <c r="T148" s="4">
        <v>16</v>
      </c>
      <c r="U148" s="4">
        <v>129</v>
      </c>
      <c r="V148" s="4"/>
      <c r="W148" s="4">
        <v>23.1</v>
      </c>
      <c r="X148" s="4"/>
      <c r="Y148" s="10">
        <v>6.2</v>
      </c>
      <c r="Z148" s="4"/>
      <c r="AA148" s="4">
        <v>196.36</v>
      </c>
      <c r="AB148" s="4"/>
      <c r="AC148" s="4"/>
      <c r="AD148" s="4"/>
      <c r="AE148" s="4"/>
      <c r="AF148" s="4"/>
      <c r="AG148" s="4"/>
      <c r="AH148" s="4"/>
      <c r="AI148" s="10"/>
      <c r="AJ148" s="4">
        <v>1</v>
      </c>
      <c r="AK148" s="4"/>
      <c r="AL148" s="4">
        <v>0</v>
      </c>
    </row>
    <row r="149" spans="1:38" ht="14.25" customHeight="1" x14ac:dyDescent="0.35">
      <c r="A149" s="5"/>
      <c r="B149" s="5"/>
      <c r="C149" s="6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18"/>
      <c r="R149" s="18"/>
      <c r="S149" s="4"/>
      <c r="T149" s="4"/>
      <c r="U149" s="4"/>
      <c r="V149" s="4"/>
      <c r="W149" s="4"/>
      <c r="X149" s="4"/>
      <c r="Y149" s="10"/>
      <c r="Z149" s="4"/>
      <c r="AA149" s="4">
        <v>172.38</v>
      </c>
      <c r="AB149" s="4"/>
      <c r="AC149" s="4"/>
      <c r="AD149" s="4"/>
      <c r="AE149" s="4"/>
      <c r="AF149" s="4"/>
      <c r="AG149" s="4"/>
      <c r="AH149" s="4"/>
      <c r="AI149" s="10"/>
      <c r="AJ149" s="4"/>
      <c r="AK149" s="4"/>
      <c r="AL149" s="4"/>
    </row>
    <row r="150" spans="1:38" ht="14.25" customHeight="1" x14ac:dyDescent="0.35">
      <c r="A150" s="5">
        <v>168</v>
      </c>
      <c r="B150" s="5">
        <v>62</v>
      </c>
      <c r="C150" s="6">
        <f>(B150/(A150/100)^2)</f>
        <v>21.9671201814059</v>
      </c>
      <c r="D150" s="4">
        <v>4</v>
      </c>
      <c r="E150" s="4">
        <v>9.1</v>
      </c>
      <c r="F150" s="4">
        <v>2210</v>
      </c>
      <c r="G150" s="4">
        <v>84500</v>
      </c>
      <c r="H150" s="4">
        <v>81.900000000000006</v>
      </c>
      <c r="I150" s="4">
        <v>9.5</v>
      </c>
      <c r="J150" s="4">
        <v>8.6199999999999992</v>
      </c>
      <c r="K150" s="4"/>
      <c r="L150" s="4"/>
      <c r="M150" s="4"/>
      <c r="N150" s="4">
        <v>423.6</v>
      </c>
      <c r="O150" s="4">
        <v>3.57</v>
      </c>
      <c r="P150" s="4"/>
      <c r="Q150" s="18">
        <v>0.62</v>
      </c>
      <c r="R150" s="18">
        <v>113.253</v>
      </c>
      <c r="S150" s="4">
        <v>48</v>
      </c>
      <c r="T150" s="4">
        <v>30</v>
      </c>
      <c r="U150" s="4">
        <v>71</v>
      </c>
      <c r="V150" s="4">
        <v>506</v>
      </c>
      <c r="W150" s="4">
        <v>4.1100000000000003</v>
      </c>
      <c r="X150" s="4">
        <v>2312</v>
      </c>
      <c r="Y150" s="10">
        <v>0.56999999999999995</v>
      </c>
      <c r="Z150" s="4"/>
      <c r="AA150" s="4">
        <v>114.34</v>
      </c>
      <c r="AB150" s="4"/>
      <c r="AC150" s="4"/>
      <c r="AD150" s="4"/>
      <c r="AE150" s="4"/>
      <c r="AF150" s="4"/>
      <c r="AG150" s="4"/>
      <c r="AH150" s="4"/>
      <c r="AI150" s="10"/>
      <c r="AJ150" s="4">
        <v>0</v>
      </c>
      <c r="AK150" s="4"/>
      <c r="AL150" s="4">
        <v>1</v>
      </c>
    </row>
    <row r="151" spans="1:38" ht="14.25" customHeight="1" x14ac:dyDescent="0.35">
      <c r="A151" s="5"/>
      <c r="B151" s="5"/>
      <c r="C151" s="6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18"/>
      <c r="R151" s="18"/>
      <c r="S151" s="4"/>
      <c r="T151" s="4"/>
      <c r="U151" s="4"/>
      <c r="V151" s="4"/>
      <c r="W151" s="4"/>
      <c r="X151" s="4"/>
      <c r="Y151" s="10"/>
      <c r="Z151" s="4"/>
      <c r="AA151" s="4">
        <v>1000.38</v>
      </c>
      <c r="AB151" s="4"/>
      <c r="AC151" s="4"/>
      <c r="AD151" s="4"/>
      <c r="AE151" s="4"/>
      <c r="AF151" s="4"/>
      <c r="AG151" s="4"/>
      <c r="AH151" s="4"/>
      <c r="AI151" s="10"/>
      <c r="AJ151" s="4"/>
      <c r="AK151" s="4"/>
      <c r="AL151" s="4"/>
    </row>
    <row r="152" spans="1:38" ht="14.25" customHeight="1" x14ac:dyDescent="0.35">
      <c r="A152" s="5">
        <v>165</v>
      </c>
      <c r="B152" s="5">
        <v>58</v>
      </c>
      <c r="C152" s="6">
        <f>(B152/(A152/100)^2)</f>
        <v>21.30394857667585</v>
      </c>
      <c r="D152" s="4">
        <v>4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18"/>
      <c r="R152" s="18"/>
      <c r="S152" s="4"/>
      <c r="T152" s="4"/>
      <c r="U152" s="4"/>
      <c r="V152" s="4"/>
      <c r="W152" s="4"/>
      <c r="X152" s="4"/>
      <c r="Y152" s="10"/>
      <c r="Z152" s="4"/>
      <c r="AA152" s="4"/>
      <c r="AB152" s="4"/>
      <c r="AC152" s="4"/>
      <c r="AD152" s="4"/>
      <c r="AE152" s="4"/>
      <c r="AF152" s="4">
        <v>185.79</v>
      </c>
      <c r="AG152" s="4">
        <v>5.47</v>
      </c>
      <c r="AH152" s="4">
        <v>69.17</v>
      </c>
      <c r="AI152" s="14">
        <v>52.46</v>
      </c>
      <c r="AJ152" s="4">
        <v>1</v>
      </c>
      <c r="AK152" s="4"/>
      <c r="AL152" s="4">
        <v>1</v>
      </c>
    </row>
    <row r="153" spans="1:38" ht="14.25" customHeight="1" x14ac:dyDescent="0.35">
      <c r="A153" s="5">
        <v>160</v>
      </c>
      <c r="B153" s="5">
        <v>75</v>
      </c>
      <c r="C153" s="6">
        <f>(B153/(A153/100)^2)</f>
        <v>29.296874999999993</v>
      </c>
      <c r="D153" s="4">
        <v>4</v>
      </c>
      <c r="E153" s="4">
        <v>11.2</v>
      </c>
      <c r="F153" s="4">
        <v>8150</v>
      </c>
      <c r="G153" s="4">
        <v>295000</v>
      </c>
      <c r="H153" s="4">
        <v>84.4</v>
      </c>
      <c r="I153" s="4">
        <v>11.2</v>
      </c>
      <c r="J153" s="4">
        <v>7.56</v>
      </c>
      <c r="K153" s="4"/>
      <c r="L153" s="4"/>
      <c r="M153" s="4"/>
      <c r="N153" s="4"/>
      <c r="O153" s="4"/>
      <c r="P153" s="4"/>
      <c r="Q153" s="18">
        <v>0.81</v>
      </c>
      <c r="R153" s="19">
        <v>82.917000000000002</v>
      </c>
      <c r="S153" s="4">
        <v>164</v>
      </c>
      <c r="T153" s="4">
        <v>136</v>
      </c>
      <c r="U153" s="4">
        <v>147</v>
      </c>
      <c r="V153" s="4"/>
      <c r="W153" s="4"/>
      <c r="X153" s="4"/>
      <c r="Y153" s="10"/>
      <c r="Z153" s="4"/>
      <c r="AA153" s="4">
        <v>59.85</v>
      </c>
      <c r="AB153" s="4"/>
      <c r="AC153" s="4"/>
      <c r="AD153" s="4"/>
      <c r="AE153" s="4"/>
      <c r="AF153" s="4"/>
      <c r="AG153" s="4"/>
      <c r="AH153" s="4"/>
      <c r="AI153" s="14">
        <v>104.3</v>
      </c>
      <c r="AJ153" s="4">
        <v>0</v>
      </c>
      <c r="AK153" s="4"/>
      <c r="AL153" s="4">
        <v>1</v>
      </c>
    </row>
    <row r="154" spans="1:38" ht="14.25" customHeight="1" x14ac:dyDescent="0.35">
      <c r="A154" s="5"/>
      <c r="B154" s="5"/>
      <c r="C154" s="6"/>
      <c r="D154" s="4">
        <v>4</v>
      </c>
      <c r="E154" s="4">
        <v>8</v>
      </c>
      <c r="F154" s="4">
        <v>5810</v>
      </c>
      <c r="G154" s="4">
        <v>70000</v>
      </c>
      <c r="H154" s="4">
        <v>2.2000000000000002</v>
      </c>
      <c r="I154" s="4">
        <v>87.1</v>
      </c>
      <c r="J154" s="4">
        <v>0.03</v>
      </c>
      <c r="K154" s="4"/>
      <c r="L154" s="4"/>
      <c r="M154" s="4"/>
      <c r="N154" s="4">
        <v>267.89999999999998</v>
      </c>
      <c r="O154" s="4">
        <v>1.91</v>
      </c>
      <c r="P154" s="4"/>
      <c r="Q154" s="18"/>
      <c r="R154" s="18"/>
      <c r="S154" s="4"/>
      <c r="T154" s="4"/>
      <c r="U154" s="4"/>
      <c r="V154" s="4"/>
      <c r="W154" s="4"/>
      <c r="X154" s="4"/>
      <c r="Y154" s="10">
        <v>0.11</v>
      </c>
      <c r="Z154" s="4"/>
      <c r="AA154" s="4">
        <v>315.66000000000003</v>
      </c>
      <c r="AB154" s="4"/>
      <c r="AC154" s="4"/>
      <c r="AD154" s="4"/>
      <c r="AE154" s="4"/>
      <c r="AF154" s="4"/>
      <c r="AG154" s="4"/>
      <c r="AH154" s="4"/>
      <c r="AI154" s="10"/>
      <c r="AJ154" s="4">
        <v>0</v>
      </c>
      <c r="AK154" s="4"/>
      <c r="AL154" s="4">
        <v>1</v>
      </c>
    </row>
    <row r="155" spans="1:38" ht="14.25" customHeight="1" x14ac:dyDescent="0.35">
      <c r="A155" s="5">
        <v>170</v>
      </c>
      <c r="B155" s="5">
        <v>73</v>
      </c>
      <c r="C155" s="6">
        <f>(B155/(A155/100)^2)</f>
        <v>25.259515570934258</v>
      </c>
      <c r="D155" s="4">
        <v>3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18"/>
      <c r="R155" s="18"/>
      <c r="S155" s="4"/>
      <c r="T155" s="4"/>
      <c r="U155" s="4"/>
      <c r="V155" s="4"/>
      <c r="W155" s="4"/>
      <c r="X155" s="4"/>
      <c r="Y155" s="10"/>
      <c r="Z155" s="4"/>
      <c r="AA155" s="4">
        <v>1079.19</v>
      </c>
      <c r="AB155" s="4"/>
      <c r="AC155" s="4"/>
      <c r="AD155" s="4"/>
      <c r="AE155" s="4"/>
      <c r="AF155" s="4">
        <v>317.87</v>
      </c>
      <c r="AG155" s="4">
        <v>7.56</v>
      </c>
      <c r="AH155" s="4">
        <v>579.22</v>
      </c>
      <c r="AI155" s="14">
        <v>31.67</v>
      </c>
      <c r="AJ155" s="4">
        <v>1</v>
      </c>
      <c r="AK155" s="4"/>
      <c r="AL155" s="4">
        <v>0</v>
      </c>
    </row>
    <row r="156" spans="1:38" ht="14.25" customHeight="1" x14ac:dyDescent="0.35">
      <c r="A156" s="5">
        <v>150</v>
      </c>
      <c r="B156" s="5">
        <v>55</v>
      </c>
      <c r="C156" s="6">
        <f>(B156/(A156/100)^2)</f>
        <v>24.444444444444443</v>
      </c>
      <c r="D156" s="4">
        <v>4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18"/>
      <c r="R156" s="18"/>
      <c r="S156" s="4"/>
      <c r="T156" s="4"/>
      <c r="U156" s="4"/>
      <c r="V156" s="4"/>
      <c r="W156" s="4"/>
      <c r="X156" s="4"/>
      <c r="Y156" s="10"/>
      <c r="Z156" s="4"/>
      <c r="AA156" s="4">
        <v>157.88</v>
      </c>
      <c r="AB156" s="4"/>
      <c r="AC156" s="4"/>
      <c r="AD156" s="4"/>
      <c r="AE156" s="4"/>
      <c r="AF156" s="4"/>
      <c r="AG156" s="4"/>
      <c r="AH156" s="4"/>
      <c r="AI156" s="10"/>
      <c r="AJ156" s="4"/>
      <c r="AK156" s="4"/>
      <c r="AL156" s="4">
        <v>1</v>
      </c>
    </row>
    <row r="157" spans="1:38" ht="14.25" customHeight="1" x14ac:dyDescent="0.35">
      <c r="A157" s="5">
        <v>158</v>
      </c>
      <c r="B157" s="5">
        <v>65</v>
      </c>
      <c r="C157" s="6">
        <f>(B157/(A157/100)^2)</f>
        <v>26.037493991347535</v>
      </c>
      <c r="D157" s="4">
        <v>3</v>
      </c>
      <c r="E157" s="4">
        <v>12.5</v>
      </c>
      <c r="F157" s="4">
        <v>10250</v>
      </c>
      <c r="G157" s="4">
        <v>215000</v>
      </c>
      <c r="H157" s="4">
        <v>75.8</v>
      </c>
      <c r="I157" s="4">
        <v>18.8</v>
      </c>
      <c r="J157" s="4">
        <v>4.03</v>
      </c>
      <c r="K157" s="4"/>
      <c r="L157" s="4"/>
      <c r="M157" s="4"/>
      <c r="N157" s="4">
        <v>419.3</v>
      </c>
      <c r="O157" s="4">
        <v>0.3</v>
      </c>
      <c r="P157" s="4"/>
      <c r="Q157" s="18">
        <v>0.92</v>
      </c>
      <c r="R157" s="19">
        <v>97.317999999999998</v>
      </c>
      <c r="S157" s="4">
        <v>38</v>
      </c>
      <c r="T157" s="4">
        <v>18</v>
      </c>
      <c r="U157" s="4">
        <v>100</v>
      </c>
      <c r="V157" s="4"/>
      <c r="W157" s="4"/>
      <c r="X157" s="4"/>
      <c r="Y157" s="10">
        <v>0.19</v>
      </c>
      <c r="Z157" s="4"/>
      <c r="AA157" s="4">
        <v>113.13</v>
      </c>
      <c r="AB157" s="4"/>
      <c r="AC157" s="4"/>
      <c r="AD157" s="4"/>
      <c r="AE157" s="4"/>
      <c r="AF157" s="4"/>
      <c r="AG157" s="4"/>
      <c r="AH157" s="4"/>
      <c r="AI157" s="10"/>
      <c r="AJ157" s="4">
        <v>0</v>
      </c>
      <c r="AK157" s="4"/>
      <c r="AL157" s="4">
        <v>0</v>
      </c>
    </row>
    <row r="158" spans="1:38" ht="14.25" customHeight="1" x14ac:dyDescent="0.35">
      <c r="A158" s="5"/>
      <c r="B158" s="5"/>
      <c r="C158" s="6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18"/>
      <c r="R158" s="18"/>
      <c r="S158" s="4"/>
      <c r="T158" s="4"/>
      <c r="U158" s="4"/>
      <c r="V158" s="4"/>
      <c r="W158" s="4"/>
      <c r="X158" s="4"/>
      <c r="Y158" s="10"/>
      <c r="Z158" s="4"/>
      <c r="AA158" s="4">
        <v>159.72</v>
      </c>
      <c r="AB158" s="4"/>
      <c r="AC158" s="4"/>
      <c r="AD158" s="4"/>
      <c r="AE158" s="4"/>
      <c r="AF158" s="4"/>
      <c r="AG158" s="4"/>
      <c r="AH158" s="4"/>
      <c r="AI158" s="10"/>
      <c r="AJ158" s="4"/>
      <c r="AK158" s="4"/>
      <c r="AL158" s="4"/>
    </row>
    <row r="159" spans="1:38" ht="14.25" customHeight="1" x14ac:dyDescent="0.35">
      <c r="A159" s="5">
        <v>164</v>
      </c>
      <c r="B159" s="5">
        <v>68</v>
      </c>
      <c r="C159" s="6">
        <f>(B159/(A159/100)^2)</f>
        <v>25.282569898869724</v>
      </c>
      <c r="D159" s="4">
        <v>3</v>
      </c>
      <c r="E159" s="4">
        <v>13.4</v>
      </c>
      <c r="F159" s="4">
        <v>10150</v>
      </c>
      <c r="G159" s="4">
        <v>246000</v>
      </c>
      <c r="H159" s="4">
        <v>89.2</v>
      </c>
      <c r="I159" s="4">
        <v>6.5</v>
      </c>
      <c r="J159" s="4">
        <v>13.71</v>
      </c>
      <c r="K159" s="4"/>
      <c r="L159" s="4"/>
      <c r="M159" s="4"/>
      <c r="N159" s="4">
        <v>555.29999999999995</v>
      </c>
      <c r="O159" s="4">
        <v>2.42</v>
      </c>
      <c r="P159" s="4"/>
      <c r="Q159" s="18">
        <v>0.99</v>
      </c>
      <c r="R159" s="19">
        <v>77.933999999999997</v>
      </c>
      <c r="S159" s="4">
        <v>56</v>
      </c>
      <c r="T159" s="4">
        <v>75</v>
      </c>
      <c r="U159" s="4">
        <v>170</v>
      </c>
      <c r="V159" s="4"/>
      <c r="W159" s="4">
        <v>11.27</v>
      </c>
      <c r="X159" s="4">
        <v>1598</v>
      </c>
      <c r="Y159" s="10">
        <v>0.28999999999999998</v>
      </c>
      <c r="Z159" s="4"/>
      <c r="AA159" s="4">
        <v>48.62</v>
      </c>
      <c r="AB159" s="4"/>
      <c r="AC159" s="4"/>
      <c r="AD159" s="4"/>
      <c r="AE159" s="4"/>
      <c r="AF159" s="4"/>
      <c r="AG159" s="4"/>
      <c r="AH159" s="4"/>
      <c r="AI159" s="14">
        <v>15.03</v>
      </c>
      <c r="AJ159" s="4">
        <v>0</v>
      </c>
      <c r="AK159" s="4"/>
      <c r="AL159" s="4">
        <v>1</v>
      </c>
    </row>
    <row r="160" spans="1:38" ht="14.25" customHeight="1" x14ac:dyDescent="0.35">
      <c r="A160" s="5"/>
      <c r="B160" s="5"/>
      <c r="C160" s="6"/>
      <c r="D160" s="4">
        <v>2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18"/>
      <c r="R160" s="18"/>
      <c r="S160" s="4"/>
      <c r="T160" s="4"/>
      <c r="U160" s="4"/>
      <c r="V160" s="4"/>
      <c r="W160" s="4"/>
      <c r="X160" s="4"/>
      <c r="Y160" s="10"/>
      <c r="Z160" s="4"/>
      <c r="AA160" s="4">
        <v>168.12</v>
      </c>
      <c r="AB160" s="4"/>
      <c r="AC160" s="4"/>
      <c r="AD160" s="4"/>
      <c r="AE160" s="4"/>
      <c r="AF160" s="4"/>
      <c r="AG160" s="4"/>
      <c r="AH160" s="4"/>
      <c r="AI160" s="10"/>
      <c r="AJ160" s="4"/>
      <c r="AK160" s="4"/>
      <c r="AL160" s="4"/>
    </row>
    <row r="161" spans="1:38" ht="14.25" customHeight="1" x14ac:dyDescent="0.35">
      <c r="A161" s="5"/>
      <c r="B161" s="5"/>
      <c r="C161" s="6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18"/>
      <c r="R161" s="18"/>
      <c r="S161" s="4"/>
      <c r="T161" s="4"/>
      <c r="U161" s="4"/>
      <c r="V161" s="4"/>
      <c r="W161" s="4"/>
      <c r="X161" s="4"/>
      <c r="Y161" s="10"/>
      <c r="Z161" s="4"/>
      <c r="AA161" s="4">
        <v>63994.97</v>
      </c>
      <c r="AB161" s="4"/>
      <c r="AC161" s="4"/>
      <c r="AD161" s="4"/>
      <c r="AE161" s="4"/>
      <c r="AF161" s="4"/>
      <c r="AG161" s="4"/>
      <c r="AH161" s="4"/>
      <c r="AI161" s="10"/>
      <c r="AJ161" s="4"/>
      <c r="AK161" s="4"/>
      <c r="AL161" s="4"/>
    </row>
    <row r="162" spans="1:38" ht="14.25" customHeight="1" x14ac:dyDescent="0.35">
      <c r="A162" s="5">
        <v>160</v>
      </c>
      <c r="B162" s="5">
        <v>60</v>
      </c>
      <c r="C162" s="6">
        <f>(B162/(A162/100)^2)</f>
        <v>23.437499999999996</v>
      </c>
      <c r="D162" s="4">
        <v>3</v>
      </c>
      <c r="E162" s="4">
        <v>14.3</v>
      </c>
      <c r="F162" s="4">
        <v>5490</v>
      </c>
      <c r="G162" s="4">
        <v>181000</v>
      </c>
      <c r="H162" s="4">
        <v>73</v>
      </c>
      <c r="I162" s="4">
        <v>14.2</v>
      </c>
      <c r="J162" s="4">
        <v>5.14</v>
      </c>
      <c r="K162" s="4"/>
      <c r="L162" s="4"/>
      <c r="M162" s="4"/>
      <c r="N162" s="4">
        <v>490.1</v>
      </c>
      <c r="O162" s="4">
        <v>20.350000000000001</v>
      </c>
      <c r="P162" s="4"/>
      <c r="Q162" s="18"/>
      <c r="R162" s="19">
        <v>35.871000000000002</v>
      </c>
      <c r="S162" s="4">
        <v>119</v>
      </c>
      <c r="T162" s="4">
        <v>112</v>
      </c>
      <c r="U162" s="4">
        <v>71</v>
      </c>
      <c r="V162" s="4">
        <v>330</v>
      </c>
      <c r="W162" s="4">
        <v>20.89</v>
      </c>
      <c r="X162" s="4">
        <v>1097</v>
      </c>
      <c r="Y162" s="10">
        <v>100</v>
      </c>
      <c r="Z162" s="4">
        <v>5.5</v>
      </c>
      <c r="AA162" s="4">
        <v>92.74</v>
      </c>
      <c r="AB162" s="4"/>
      <c r="AC162" s="4"/>
      <c r="AD162" s="4"/>
      <c r="AE162" s="4"/>
      <c r="AF162" s="4"/>
      <c r="AG162" s="4"/>
      <c r="AH162" s="4"/>
      <c r="AI162" s="10"/>
      <c r="AJ162" s="4">
        <v>0</v>
      </c>
      <c r="AK162" s="4"/>
      <c r="AL162" s="4">
        <v>1</v>
      </c>
    </row>
    <row r="163" spans="1:38" ht="14.25" customHeight="1" x14ac:dyDescent="0.35">
      <c r="A163" s="5"/>
      <c r="B163" s="5"/>
      <c r="C163" s="6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18"/>
      <c r="R163" s="18"/>
      <c r="S163" s="4"/>
      <c r="T163" s="4"/>
      <c r="U163" s="4"/>
      <c r="V163" s="4"/>
      <c r="W163" s="4"/>
      <c r="X163" s="4"/>
      <c r="Y163" s="10"/>
      <c r="Z163" s="4"/>
      <c r="AA163" s="4">
        <v>99.48</v>
      </c>
      <c r="AB163" s="4"/>
      <c r="AC163" s="4"/>
      <c r="AD163" s="4"/>
      <c r="AE163" s="4"/>
      <c r="AF163" s="4"/>
      <c r="AG163" s="4"/>
      <c r="AH163" s="4"/>
      <c r="AI163" s="10"/>
      <c r="AJ163" s="4"/>
      <c r="AK163" s="4"/>
      <c r="AL163" s="4"/>
    </row>
    <row r="164" spans="1:38" ht="14.25" customHeight="1" x14ac:dyDescent="0.35">
      <c r="A164" s="5"/>
      <c r="B164" s="5"/>
      <c r="C164" s="6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18"/>
      <c r="R164" s="18"/>
      <c r="S164" s="4"/>
      <c r="T164" s="4"/>
      <c r="U164" s="4"/>
      <c r="V164" s="4"/>
      <c r="W164" s="4"/>
      <c r="X164" s="4"/>
      <c r="Y164" s="10"/>
      <c r="Z164" s="4"/>
      <c r="AA164" s="4">
        <v>60.78</v>
      </c>
      <c r="AB164" s="4"/>
      <c r="AC164" s="4"/>
      <c r="AD164" s="4"/>
      <c r="AE164" s="4"/>
      <c r="AF164" s="4"/>
      <c r="AG164" s="4"/>
      <c r="AH164" s="4"/>
      <c r="AI164" s="14">
        <v>96.05</v>
      </c>
      <c r="AJ164" s="4"/>
      <c r="AK164" s="4"/>
      <c r="AL164" s="4"/>
    </row>
    <row r="165" spans="1:38" ht="14.25" customHeight="1" x14ac:dyDescent="0.35">
      <c r="A165" s="5"/>
      <c r="B165" s="5"/>
      <c r="C165" s="6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18"/>
      <c r="R165" s="18"/>
      <c r="S165" s="4"/>
      <c r="T165" s="4"/>
      <c r="U165" s="4"/>
      <c r="V165" s="4"/>
      <c r="W165" s="4"/>
      <c r="X165" s="4"/>
      <c r="Y165" s="10"/>
      <c r="Z165" s="4"/>
      <c r="AA165" s="4">
        <v>67.760000000000005</v>
      </c>
      <c r="AB165" s="4"/>
      <c r="AC165" s="4"/>
      <c r="AD165" s="4"/>
      <c r="AE165" s="4"/>
      <c r="AF165" s="4"/>
      <c r="AG165" s="4"/>
      <c r="AH165" s="4"/>
      <c r="AI165" s="14">
        <v>52.46</v>
      </c>
      <c r="AJ165" s="4"/>
      <c r="AK165" s="4"/>
      <c r="AL165" s="4"/>
    </row>
    <row r="166" spans="1:38" ht="14.25" customHeight="1" x14ac:dyDescent="0.35">
      <c r="A166" s="5">
        <v>170</v>
      </c>
      <c r="B166" s="5">
        <v>60</v>
      </c>
      <c r="C166" s="6">
        <f>(B166/(A166/100)^2)</f>
        <v>20.761245674740486</v>
      </c>
      <c r="D166" s="4">
        <v>4</v>
      </c>
      <c r="E166" s="4">
        <v>12.7</v>
      </c>
      <c r="F166" s="4">
        <v>18910</v>
      </c>
      <c r="G166" s="4">
        <v>225000</v>
      </c>
      <c r="H166" s="4">
        <v>89.1</v>
      </c>
      <c r="I166" s="4">
        <v>6.3</v>
      </c>
      <c r="J166" s="4">
        <v>14.18</v>
      </c>
      <c r="K166" s="4"/>
      <c r="L166" s="4"/>
      <c r="M166" s="4"/>
      <c r="N166" s="4">
        <v>491</v>
      </c>
      <c r="O166" s="4">
        <v>35.200000000000003</v>
      </c>
      <c r="P166" s="4"/>
      <c r="Q166" s="18">
        <v>4.54</v>
      </c>
      <c r="R166" s="19">
        <v>13.260999999999999</v>
      </c>
      <c r="S166" s="4">
        <v>427</v>
      </c>
      <c r="T166" s="4">
        <v>55</v>
      </c>
      <c r="U166" s="4">
        <v>180</v>
      </c>
      <c r="V166" s="4"/>
      <c r="W166" s="4">
        <v>30.91</v>
      </c>
      <c r="X166" s="4">
        <v>7385</v>
      </c>
      <c r="Y166" s="10">
        <v>13.03</v>
      </c>
      <c r="Z166" s="4">
        <v>7</v>
      </c>
      <c r="AA166" s="4">
        <v>1475.72</v>
      </c>
      <c r="AB166" s="4"/>
      <c r="AC166" s="4"/>
      <c r="AD166" s="4"/>
      <c r="AE166" s="4"/>
      <c r="AF166" s="4"/>
      <c r="AG166" s="4"/>
      <c r="AH166" s="4"/>
      <c r="AI166" s="14">
        <v>105.2</v>
      </c>
      <c r="AJ166" s="4">
        <v>0</v>
      </c>
      <c r="AK166" s="4"/>
      <c r="AL166" s="4">
        <v>0</v>
      </c>
    </row>
    <row r="167" spans="1:38" ht="14.25" customHeight="1" x14ac:dyDescent="0.35">
      <c r="A167" s="5"/>
      <c r="B167" s="5"/>
      <c r="C167" s="6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18"/>
      <c r="R167" s="18"/>
      <c r="S167" s="4"/>
      <c r="T167" s="4"/>
      <c r="U167" s="4"/>
      <c r="V167" s="4"/>
      <c r="W167" s="4"/>
      <c r="X167" s="4"/>
      <c r="Y167" s="10"/>
      <c r="Z167" s="4"/>
      <c r="AA167" s="4">
        <v>171.91</v>
      </c>
      <c r="AB167" s="4"/>
      <c r="AC167" s="4"/>
      <c r="AD167" s="4"/>
      <c r="AE167" s="4"/>
      <c r="AF167" s="4"/>
      <c r="AG167" s="4"/>
      <c r="AH167" s="4"/>
      <c r="AI167" s="10"/>
      <c r="AJ167" s="4"/>
      <c r="AK167" s="4"/>
      <c r="AL167" s="4"/>
    </row>
    <row r="168" spans="1:38" ht="14.25" customHeight="1" x14ac:dyDescent="0.35">
      <c r="A168" s="5">
        <v>170</v>
      </c>
      <c r="B168" s="5">
        <v>100</v>
      </c>
      <c r="C168" s="6">
        <f>(B168/(A168/100)^2)</f>
        <v>34.602076124567475</v>
      </c>
      <c r="D168" s="4">
        <v>4</v>
      </c>
      <c r="E168" s="4">
        <v>13.8</v>
      </c>
      <c r="F168" s="4">
        <v>14210</v>
      </c>
      <c r="G168" s="4">
        <v>308000</v>
      </c>
      <c r="H168" s="4">
        <v>81.900000000000006</v>
      </c>
      <c r="I168" s="4">
        <v>12.2</v>
      </c>
      <c r="J168" s="4">
        <f>H168/I168</f>
        <v>6.7131147540983616</v>
      </c>
      <c r="K168" s="4"/>
      <c r="L168" s="4"/>
      <c r="M168" s="4"/>
      <c r="N168" s="4">
        <v>478.6</v>
      </c>
      <c r="O168" s="4">
        <v>2.72</v>
      </c>
      <c r="P168" s="4"/>
      <c r="Q168" s="18">
        <v>0.92</v>
      </c>
      <c r="R168" s="19">
        <v>108.13200000000001</v>
      </c>
      <c r="S168" s="4">
        <v>67</v>
      </c>
      <c r="T168" s="4">
        <v>74</v>
      </c>
      <c r="U168" s="4">
        <v>106</v>
      </c>
      <c r="V168" s="4"/>
      <c r="W168" s="4">
        <v>3.07</v>
      </c>
      <c r="X168" s="4">
        <v>929.1</v>
      </c>
      <c r="Y168" s="10">
        <v>0.53</v>
      </c>
      <c r="Z168" s="4">
        <v>6.4</v>
      </c>
      <c r="AA168" s="4">
        <v>3.12</v>
      </c>
      <c r="AB168" s="4"/>
      <c r="AC168" s="4"/>
      <c r="AD168" s="4"/>
      <c r="AE168" s="4"/>
      <c r="AF168" s="4"/>
      <c r="AG168" s="4"/>
      <c r="AH168" s="4"/>
      <c r="AI168" s="14">
        <v>31.41</v>
      </c>
      <c r="AJ168" s="4">
        <v>0</v>
      </c>
      <c r="AK168" s="4"/>
      <c r="AL168" s="4">
        <v>1</v>
      </c>
    </row>
    <row r="169" spans="1:38" ht="14.25" customHeight="1" x14ac:dyDescent="0.35">
      <c r="A169" s="5"/>
      <c r="B169" s="5"/>
      <c r="C169" s="6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18"/>
      <c r="R169" s="18"/>
      <c r="S169" s="4"/>
      <c r="T169" s="4"/>
      <c r="U169" s="4"/>
      <c r="V169" s="4"/>
      <c r="W169" s="4"/>
      <c r="X169" s="4"/>
      <c r="Y169" s="10"/>
      <c r="Z169" s="4"/>
      <c r="AA169" s="4">
        <v>576.89</v>
      </c>
      <c r="AB169" s="4"/>
      <c r="AC169" s="4"/>
      <c r="AD169" s="4"/>
      <c r="AE169" s="4"/>
      <c r="AF169" s="4"/>
      <c r="AG169" s="4"/>
      <c r="AH169" s="4"/>
      <c r="AI169" s="10"/>
      <c r="AJ169" s="4"/>
      <c r="AK169" s="4"/>
      <c r="AL169" s="4"/>
    </row>
    <row r="170" spans="1:38" ht="14.25" customHeight="1" x14ac:dyDescent="0.35">
      <c r="A170" s="5">
        <v>162</v>
      </c>
      <c r="B170" s="5">
        <v>50</v>
      </c>
      <c r="C170" s="6">
        <f>(B170/(A170/100)^2)</f>
        <v>19.051973784484069</v>
      </c>
      <c r="D170" s="4">
        <v>3</v>
      </c>
      <c r="E170" s="4">
        <v>10.5</v>
      </c>
      <c r="F170" s="4">
        <v>6320</v>
      </c>
      <c r="G170" s="4">
        <v>213000</v>
      </c>
      <c r="H170" s="4">
        <v>79.8</v>
      </c>
      <c r="I170" s="4">
        <v>12.8</v>
      </c>
      <c r="J170" s="4">
        <v>6.22</v>
      </c>
      <c r="K170" s="4"/>
      <c r="L170" s="4"/>
      <c r="M170" s="4"/>
      <c r="N170" s="4">
        <v>291.8</v>
      </c>
      <c r="O170" s="4">
        <v>1.74</v>
      </c>
      <c r="P170" s="4"/>
      <c r="Q170" s="18">
        <v>0.62</v>
      </c>
      <c r="R170" s="19">
        <v>126.72499999999999</v>
      </c>
      <c r="S170" s="4">
        <v>16</v>
      </c>
      <c r="T170" s="4">
        <v>7</v>
      </c>
      <c r="U170" s="4">
        <v>209</v>
      </c>
      <c r="V170" s="4">
        <v>238</v>
      </c>
      <c r="W170" s="4">
        <v>3.01</v>
      </c>
      <c r="X170" s="4">
        <v>591.29999999999995</v>
      </c>
      <c r="Y170" s="10">
        <v>0.25</v>
      </c>
      <c r="Z170" s="4">
        <v>8</v>
      </c>
      <c r="AA170" s="4">
        <v>99.1</v>
      </c>
      <c r="AB170" s="4"/>
      <c r="AC170" s="4"/>
      <c r="AD170" s="4"/>
      <c r="AE170" s="4"/>
      <c r="AF170" s="4"/>
      <c r="AG170" s="4"/>
      <c r="AH170" s="4"/>
      <c r="AI170" s="10"/>
      <c r="AJ170" s="4">
        <v>1</v>
      </c>
      <c r="AK170" s="4"/>
      <c r="AL170" s="4">
        <v>0</v>
      </c>
    </row>
    <row r="171" spans="1:38" ht="14.25" customHeight="1" x14ac:dyDescent="0.35">
      <c r="A171" s="5"/>
      <c r="B171" s="5"/>
      <c r="C171" s="6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18"/>
      <c r="R171" s="18"/>
      <c r="S171" s="4"/>
      <c r="T171" s="4"/>
      <c r="U171" s="4"/>
      <c r="V171" s="4"/>
      <c r="W171" s="4"/>
      <c r="X171" s="4"/>
      <c r="Y171" s="10"/>
      <c r="Z171" s="4"/>
      <c r="AA171" s="4"/>
      <c r="AB171" s="4"/>
      <c r="AC171" s="4"/>
      <c r="AD171" s="4"/>
      <c r="AE171" s="4"/>
      <c r="AF171" s="4">
        <v>433.543710969421</v>
      </c>
      <c r="AG171" s="4">
        <v>11.940170743619802</v>
      </c>
      <c r="AH171" s="4">
        <v>65.786404096137673</v>
      </c>
      <c r="AI171" s="10"/>
      <c r="AJ171" s="4"/>
      <c r="AK171" s="4"/>
      <c r="AL171" s="4"/>
    </row>
    <row r="172" spans="1:38" ht="14.25" customHeight="1" x14ac:dyDescent="0.35">
      <c r="A172" s="5"/>
      <c r="B172" s="5"/>
      <c r="C172" s="6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18"/>
      <c r="R172" s="18"/>
      <c r="S172" s="4"/>
      <c r="T172" s="4"/>
      <c r="U172" s="4"/>
      <c r="V172" s="4"/>
      <c r="W172" s="4"/>
      <c r="X172" s="4"/>
      <c r="Y172" s="10"/>
      <c r="Z172" s="4"/>
      <c r="AA172" s="4"/>
      <c r="AB172" s="4"/>
      <c r="AC172" s="4"/>
      <c r="AD172" s="4"/>
      <c r="AE172" s="4"/>
      <c r="AF172" s="4">
        <v>4880.4762451531687</v>
      </c>
      <c r="AG172" s="4">
        <v>3.5633253919294332</v>
      </c>
      <c r="AH172" s="4">
        <v>662.00562246145614</v>
      </c>
      <c r="AI172" s="10"/>
      <c r="AJ172" s="4"/>
      <c r="AK172" s="4"/>
      <c r="AL172" s="4"/>
    </row>
    <row r="173" spans="1:38" ht="14.25" customHeight="1" x14ac:dyDescent="0.35">
      <c r="A173" s="5"/>
      <c r="B173" s="5"/>
      <c r="C173" s="6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18"/>
      <c r="R173" s="18"/>
      <c r="S173" s="4"/>
      <c r="T173" s="4"/>
      <c r="U173" s="4"/>
      <c r="V173" s="4"/>
      <c r="W173" s="4"/>
      <c r="X173" s="4"/>
      <c r="Y173" s="10"/>
      <c r="Z173" s="4"/>
      <c r="AA173" s="4"/>
      <c r="AB173" s="4"/>
      <c r="AC173" s="4"/>
      <c r="AD173" s="4"/>
      <c r="AE173" s="4"/>
      <c r="AF173" s="4">
        <v>1277.4035642990382</v>
      </c>
      <c r="AG173" s="4">
        <v>26.254188693269043</v>
      </c>
      <c r="AH173" s="4">
        <v>105.17590746641872</v>
      </c>
      <c r="AI173" s="10"/>
      <c r="AJ173" s="4"/>
      <c r="AK173" s="4"/>
      <c r="AL173" s="4"/>
    </row>
    <row r="174" spans="1:38" ht="14.25" customHeight="1" x14ac:dyDescent="0.35">
      <c r="A174" s="5"/>
      <c r="B174" s="5"/>
      <c r="C174" s="6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18"/>
      <c r="R174" s="18"/>
      <c r="S174" s="4"/>
      <c r="T174" s="4"/>
      <c r="U174" s="4"/>
      <c r="V174" s="4"/>
      <c r="W174" s="4"/>
      <c r="X174" s="4"/>
      <c r="Y174" s="10"/>
      <c r="Z174" s="4"/>
      <c r="AA174" s="4"/>
      <c r="AB174" s="4"/>
      <c r="AC174" s="4"/>
      <c r="AD174" s="4"/>
      <c r="AE174" s="4"/>
      <c r="AF174" s="4">
        <v>1759.7583958672938</v>
      </c>
      <c r="AG174" s="4">
        <v>9.6350526618266876</v>
      </c>
      <c r="AH174" s="4">
        <v>295.33760153299863</v>
      </c>
      <c r="AI174" s="10">
        <v>465.9</v>
      </c>
      <c r="AJ174" s="4"/>
      <c r="AK174" s="4"/>
      <c r="AL174" s="4"/>
    </row>
    <row r="175" spans="1:38" ht="14.25" customHeight="1" x14ac:dyDescent="0.35">
      <c r="A175" s="5"/>
      <c r="B175" s="5"/>
      <c r="C175" s="6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18"/>
      <c r="R175" s="18"/>
      <c r="S175" s="4"/>
      <c r="T175" s="4"/>
      <c r="U175" s="4"/>
      <c r="V175" s="4"/>
      <c r="W175" s="4"/>
      <c r="X175" s="4"/>
      <c r="Y175" s="10"/>
      <c r="Z175" s="4"/>
      <c r="AA175" s="4"/>
      <c r="AB175" s="4"/>
      <c r="AC175" s="4"/>
      <c r="AD175" s="4"/>
      <c r="AE175" s="4"/>
      <c r="AF175" s="4">
        <v>688.23647961657832</v>
      </c>
      <c r="AG175" s="4">
        <v>11.069923730360104</v>
      </c>
      <c r="AH175" s="4">
        <v>78.095121535958882</v>
      </c>
      <c r="AI175" s="14">
        <v>65.33</v>
      </c>
      <c r="AJ175" s="4"/>
      <c r="AK175" s="4"/>
      <c r="AL175" s="4"/>
    </row>
    <row r="176" spans="1:38" ht="14.25" customHeight="1" x14ac:dyDescent="0.35">
      <c r="A176" s="5"/>
      <c r="B176" s="5"/>
      <c r="C176" s="6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18"/>
      <c r="R176" s="18"/>
      <c r="S176" s="4"/>
      <c r="T176" s="4"/>
      <c r="U176" s="4"/>
      <c r="V176" s="4"/>
      <c r="W176" s="4"/>
      <c r="X176" s="4"/>
      <c r="Y176" s="10"/>
      <c r="Z176" s="4"/>
      <c r="AA176" s="4"/>
      <c r="AB176" s="4"/>
      <c r="AC176" s="4"/>
      <c r="AD176" s="4"/>
      <c r="AE176" s="4"/>
      <c r="AF176" s="4">
        <v>6433.2266689142207</v>
      </c>
      <c r="AG176" s="4">
        <v>4.7762873526726422</v>
      </c>
      <c r="AH176" s="4">
        <v>883.06112590084047</v>
      </c>
      <c r="AI176" s="10"/>
      <c r="AJ176" s="4"/>
      <c r="AK176" s="4"/>
      <c r="AL176" s="4"/>
    </row>
    <row r="177" spans="1:38" ht="14.25" customHeight="1" x14ac:dyDescent="0.35">
      <c r="A177" s="5"/>
      <c r="B177" s="5"/>
      <c r="C177" s="6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18"/>
      <c r="R177" s="18"/>
      <c r="S177" s="4"/>
      <c r="T177" s="4"/>
      <c r="U177" s="4"/>
      <c r="V177" s="4"/>
      <c r="W177" s="4"/>
      <c r="X177" s="4"/>
      <c r="Y177" s="10"/>
      <c r="Z177" s="4"/>
      <c r="AA177" s="4"/>
      <c r="AB177" s="4"/>
      <c r="AC177" s="4"/>
      <c r="AD177" s="4"/>
      <c r="AE177" s="4"/>
      <c r="AF177" s="4">
        <v>491.38702120849018</v>
      </c>
      <c r="AG177" s="4">
        <v>12.832115523315126</v>
      </c>
      <c r="AH177" s="4">
        <v>51.931344783148639</v>
      </c>
      <c r="AI177" s="10">
        <v>158.6</v>
      </c>
      <c r="AJ177" s="4"/>
      <c r="AK177" s="4"/>
      <c r="AL177" s="4"/>
    </row>
    <row r="178" spans="1:38" ht="14.25" customHeight="1" x14ac:dyDescent="0.35">
      <c r="A178" s="5"/>
      <c r="B178" s="5"/>
      <c r="C178" s="6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18"/>
      <c r="R178" s="18"/>
      <c r="S178" s="4"/>
      <c r="T178" s="4"/>
      <c r="U178" s="4"/>
      <c r="V178" s="4"/>
      <c r="W178" s="4"/>
      <c r="X178" s="4"/>
      <c r="Y178" s="10"/>
      <c r="Z178" s="4"/>
      <c r="AA178" s="4"/>
      <c r="AB178" s="4"/>
      <c r="AC178" s="4"/>
      <c r="AD178" s="4"/>
      <c r="AE178" s="4"/>
      <c r="AF178" s="4">
        <v>917.43545829847733</v>
      </c>
      <c r="AG178" s="4">
        <v>6.5779111157598908</v>
      </c>
      <c r="AH178" s="4">
        <v>101.85958176295736</v>
      </c>
      <c r="AI178" s="10"/>
      <c r="AJ178" s="4"/>
      <c r="AK178" s="4"/>
      <c r="AL178" s="4"/>
    </row>
    <row r="179" spans="1:38" ht="14.25" customHeight="1" x14ac:dyDescent="0.35">
      <c r="A179" s="5"/>
      <c r="B179" s="5"/>
      <c r="C179" s="6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21"/>
      <c r="R179" s="21"/>
      <c r="S179" s="4"/>
      <c r="T179" s="4"/>
      <c r="U179" s="4"/>
      <c r="V179" s="4"/>
      <c r="W179" s="4"/>
      <c r="X179" s="4"/>
      <c r="Y179" s="10"/>
      <c r="Z179" s="4"/>
      <c r="AA179" s="4"/>
      <c r="AB179" s="4"/>
      <c r="AC179" s="4"/>
      <c r="AD179" s="4"/>
      <c r="AE179" s="4"/>
      <c r="AF179" s="4">
        <v>636.69920934091249</v>
      </c>
      <c r="AG179" s="4">
        <v>55.953232200320379</v>
      </c>
      <c r="AH179" s="4">
        <v>72.10364830259833</v>
      </c>
      <c r="AI179" s="10"/>
      <c r="AJ179" s="4"/>
      <c r="AK179" s="4"/>
      <c r="AL179" s="4"/>
    </row>
    <row r="180" spans="1:38" ht="14.25" customHeight="1" x14ac:dyDescent="0.35">
      <c r="A180" s="5"/>
      <c r="B180" s="5"/>
      <c r="C180" s="6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21"/>
      <c r="R180" s="21"/>
      <c r="S180" s="4"/>
      <c r="T180" s="4"/>
      <c r="U180" s="4"/>
      <c r="V180" s="4"/>
      <c r="W180" s="4"/>
      <c r="X180" s="4"/>
      <c r="Y180" s="10"/>
      <c r="Z180" s="4"/>
      <c r="AA180" s="4"/>
      <c r="AB180" s="4"/>
      <c r="AC180" s="4"/>
      <c r="AD180" s="4"/>
      <c r="AE180" s="4"/>
      <c r="AF180" s="4">
        <v>1526.4153392967501</v>
      </c>
      <c r="AG180" s="4">
        <v>5.7</v>
      </c>
      <c r="AH180" s="4">
        <v>102.41</v>
      </c>
      <c r="AI180" s="10"/>
      <c r="AJ180" s="4"/>
      <c r="AK180" s="4"/>
      <c r="AL180" s="4"/>
    </row>
    <row r="181" spans="1:38" ht="14.25" customHeight="1" x14ac:dyDescent="0.35">
      <c r="A181" s="22"/>
      <c r="B181" s="22"/>
      <c r="C181" s="23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4"/>
      <c r="Z181" s="22"/>
      <c r="AA181" s="22"/>
      <c r="AB181" s="22"/>
      <c r="AC181" s="22"/>
      <c r="AD181" s="22"/>
      <c r="AE181" s="22"/>
      <c r="AF181" s="22"/>
      <c r="AG181" s="22"/>
      <c r="AH181" s="22"/>
      <c r="AI181" s="24"/>
      <c r="AJ181" s="22"/>
      <c r="AK181" s="22"/>
      <c r="AL181" s="22"/>
    </row>
    <row r="182" spans="1:38" ht="14.25" customHeight="1" x14ac:dyDescent="0.35">
      <c r="A182" s="22"/>
      <c r="B182" s="22"/>
      <c r="C182" s="23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4"/>
      <c r="Z182" s="22"/>
      <c r="AA182" s="22"/>
      <c r="AB182" s="22"/>
      <c r="AC182" s="22"/>
      <c r="AD182" s="22"/>
      <c r="AE182" s="22"/>
      <c r="AF182" s="22"/>
      <c r="AG182" s="22"/>
      <c r="AH182" s="22"/>
      <c r="AI182" s="24"/>
      <c r="AJ182" s="22"/>
      <c r="AK182" s="22"/>
      <c r="AL182" s="22"/>
    </row>
    <row r="183" spans="1:38" ht="14.25" customHeight="1" x14ac:dyDescent="0.35">
      <c r="A183" s="22"/>
      <c r="B183" s="22"/>
      <c r="C183" s="23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4"/>
      <c r="Z183" s="22"/>
      <c r="AA183" s="22"/>
      <c r="AB183" s="22"/>
      <c r="AC183" s="22"/>
      <c r="AD183" s="22"/>
      <c r="AE183" s="22"/>
      <c r="AF183" s="22"/>
      <c r="AG183" s="22"/>
      <c r="AH183" s="22"/>
      <c r="AI183" s="24"/>
      <c r="AJ183" s="22"/>
      <c r="AK183" s="22"/>
      <c r="AL183" s="22"/>
    </row>
    <row r="184" spans="1:38" ht="14.25" customHeight="1" x14ac:dyDescent="0.35">
      <c r="A184" s="22"/>
      <c r="B184" s="22"/>
      <c r="C184" s="23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4"/>
      <c r="Z184" s="22"/>
      <c r="AA184" s="22"/>
      <c r="AB184" s="22"/>
      <c r="AC184" s="22"/>
      <c r="AD184" s="22"/>
      <c r="AE184" s="22"/>
      <c r="AF184" s="22"/>
      <c r="AG184" s="22"/>
      <c r="AH184" s="22"/>
      <c r="AI184" s="24"/>
      <c r="AJ184" s="22"/>
      <c r="AK184" s="22"/>
      <c r="AL184" s="22"/>
    </row>
    <row r="185" spans="1:38" ht="14.25" customHeight="1" x14ac:dyDescent="0.35">
      <c r="A185" s="22"/>
      <c r="B185" s="22"/>
      <c r="C185" s="23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4"/>
      <c r="Z185" s="22"/>
      <c r="AA185" s="22"/>
      <c r="AB185" s="22"/>
      <c r="AC185" s="22"/>
      <c r="AD185" s="22"/>
      <c r="AE185" s="22"/>
      <c r="AF185" s="22"/>
      <c r="AG185" s="22"/>
      <c r="AH185" s="22"/>
      <c r="AI185" s="24"/>
      <c r="AJ185" s="22"/>
      <c r="AK185" s="22"/>
      <c r="AL185" s="22"/>
    </row>
    <row r="186" spans="1:38" ht="14.25" customHeight="1" x14ac:dyDescent="0.35">
      <c r="A186" s="22"/>
      <c r="B186" s="22"/>
      <c r="C186" s="23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4"/>
      <c r="Z186" s="22"/>
      <c r="AA186" s="22"/>
      <c r="AB186" s="22"/>
      <c r="AC186" s="22"/>
      <c r="AD186" s="22"/>
      <c r="AE186" s="22"/>
      <c r="AF186" s="22"/>
      <c r="AG186" s="22"/>
      <c r="AH186" s="22"/>
      <c r="AI186" s="24"/>
      <c r="AJ186" s="22"/>
      <c r="AK186" s="22"/>
      <c r="AL186" s="22"/>
    </row>
    <row r="187" spans="1:38" ht="14.25" customHeight="1" x14ac:dyDescent="0.35">
      <c r="A187" s="22"/>
      <c r="B187" s="22"/>
      <c r="C187" s="23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4"/>
      <c r="Z187" s="22"/>
      <c r="AA187" s="22"/>
      <c r="AB187" s="22"/>
      <c r="AC187" s="22"/>
      <c r="AD187" s="22"/>
      <c r="AE187" s="22"/>
      <c r="AF187" s="22"/>
      <c r="AG187" s="22"/>
      <c r="AH187" s="22"/>
      <c r="AI187" s="24"/>
      <c r="AJ187" s="22"/>
      <c r="AK187" s="22"/>
      <c r="AL187" s="22"/>
    </row>
    <row r="188" spans="1:38" ht="14.25" customHeight="1" x14ac:dyDescent="0.35">
      <c r="A188" s="22"/>
      <c r="B188" s="22"/>
      <c r="C188" s="23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4"/>
      <c r="Z188" s="22"/>
      <c r="AA188" s="22"/>
      <c r="AB188" s="22"/>
      <c r="AC188" s="22"/>
      <c r="AD188" s="22"/>
      <c r="AE188" s="22"/>
      <c r="AF188" s="22"/>
      <c r="AG188" s="22"/>
      <c r="AH188" s="22"/>
      <c r="AI188" s="24"/>
      <c r="AJ188" s="22"/>
      <c r="AK188" s="22"/>
      <c r="AL188" s="22"/>
    </row>
    <row r="189" spans="1:38" ht="14.25" customHeight="1" x14ac:dyDescent="0.35">
      <c r="A189" s="22"/>
      <c r="B189" s="22"/>
      <c r="C189" s="23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4"/>
      <c r="Z189" s="22"/>
      <c r="AA189" s="22"/>
      <c r="AB189" s="22"/>
      <c r="AC189" s="22"/>
      <c r="AD189" s="22"/>
      <c r="AE189" s="22"/>
      <c r="AF189" s="22"/>
      <c r="AG189" s="22"/>
      <c r="AH189" s="22"/>
      <c r="AI189" s="24"/>
      <c r="AJ189" s="22"/>
      <c r="AK189" s="22"/>
      <c r="AL189" s="22"/>
    </row>
    <row r="190" spans="1:38" ht="14.25" customHeight="1" x14ac:dyDescent="0.35">
      <c r="A190" s="22"/>
      <c r="B190" s="22"/>
      <c r="C190" s="23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4"/>
      <c r="Z190" s="22"/>
      <c r="AA190" s="22"/>
      <c r="AB190" s="22"/>
      <c r="AC190" s="22"/>
      <c r="AD190" s="22"/>
      <c r="AE190" s="22"/>
      <c r="AF190" s="22"/>
      <c r="AG190" s="22"/>
      <c r="AH190" s="22"/>
      <c r="AI190" s="24"/>
      <c r="AJ190" s="22"/>
      <c r="AK190" s="22"/>
      <c r="AL190" s="22"/>
    </row>
    <row r="191" spans="1:38" ht="14.25" customHeight="1" x14ac:dyDescent="0.35">
      <c r="A191" s="22"/>
      <c r="B191" s="22"/>
      <c r="C191" s="23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4"/>
      <c r="Z191" s="22"/>
      <c r="AA191" s="22"/>
      <c r="AB191" s="22"/>
      <c r="AC191" s="22"/>
      <c r="AD191" s="22"/>
      <c r="AE191" s="22"/>
      <c r="AF191" s="22"/>
      <c r="AG191" s="22"/>
      <c r="AH191" s="22"/>
      <c r="AI191" s="24"/>
      <c r="AJ191" s="22"/>
      <c r="AK191" s="22"/>
      <c r="AL191" s="22"/>
    </row>
    <row r="192" spans="1:38" ht="14.25" customHeight="1" x14ac:dyDescent="0.35">
      <c r="A192" s="22"/>
      <c r="B192" s="22"/>
      <c r="C192" s="23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4"/>
      <c r="Z192" s="22"/>
      <c r="AA192" s="22"/>
      <c r="AB192" s="22"/>
      <c r="AC192" s="22"/>
      <c r="AD192" s="22"/>
      <c r="AE192" s="22"/>
      <c r="AF192" s="22"/>
      <c r="AG192" s="22"/>
      <c r="AH192" s="22"/>
      <c r="AI192" s="24"/>
      <c r="AJ192" s="22"/>
      <c r="AK192" s="22"/>
      <c r="AL192" s="22"/>
    </row>
    <row r="193" spans="1:38" ht="14.25" customHeight="1" x14ac:dyDescent="0.35">
      <c r="A193" s="22"/>
      <c r="B193" s="22"/>
      <c r="C193" s="23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4"/>
      <c r="Z193" s="22"/>
      <c r="AA193" s="22"/>
      <c r="AB193" s="22"/>
      <c r="AC193" s="22"/>
      <c r="AD193" s="22"/>
      <c r="AE193" s="22"/>
      <c r="AF193" s="22"/>
      <c r="AG193" s="22"/>
      <c r="AH193" s="22"/>
      <c r="AI193" s="24"/>
      <c r="AJ193" s="22"/>
      <c r="AK193" s="22"/>
      <c r="AL193" s="22"/>
    </row>
    <row r="194" spans="1:38" ht="14.25" customHeight="1" x14ac:dyDescent="0.35">
      <c r="A194" s="22"/>
      <c r="B194" s="22"/>
      <c r="C194" s="23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4"/>
      <c r="Z194" s="22"/>
      <c r="AA194" s="22"/>
      <c r="AB194" s="22"/>
      <c r="AC194" s="22"/>
      <c r="AD194" s="22"/>
      <c r="AE194" s="22"/>
      <c r="AF194" s="22"/>
      <c r="AG194" s="22"/>
      <c r="AH194" s="22"/>
      <c r="AI194" s="24"/>
      <c r="AJ194" s="22"/>
      <c r="AK194" s="22"/>
      <c r="AL194" s="22"/>
    </row>
    <row r="195" spans="1:38" ht="14.25" customHeight="1" x14ac:dyDescent="0.35">
      <c r="A195" s="22"/>
      <c r="B195" s="22"/>
      <c r="C195" s="23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4"/>
      <c r="Z195" s="22"/>
      <c r="AA195" s="22"/>
      <c r="AB195" s="22"/>
      <c r="AC195" s="22"/>
      <c r="AD195" s="22"/>
      <c r="AE195" s="22"/>
      <c r="AF195" s="22"/>
      <c r="AG195" s="22"/>
      <c r="AH195" s="22"/>
      <c r="AI195" s="24"/>
      <c r="AJ195" s="22"/>
      <c r="AK195" s="22"/>
      <c r="AL195" s="22"/>
    </row>
    <row r="196" spans="1:38" ht="14.25" customHeight="1" x14ac:dyDescent="0.35">
      <c r="A196" s="22"/>
      <c r="B196" s="22"/>
      <c r="C196" s="23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4"/>
      <c r="Z196" s="22"/>
      <c r="AA196" s="22"/>
      <c r="AB196" s="22"/>
      <c r="AC196" s="22"/>
      <c r="AD196" s="22"/>
      <c r="AE196" s="22"/>
      <c r="AF196" s="22"/>
      <c r="AG196" s="22"/>
      <c r="AH196" s="22"/>
      <c r="AI196" s="24"/>
      <c r="AJ196" s="22"/>
      <c r="AK196" s="22"/>
      <c r="AL196" s="22"/>
    </row>
    <row r="197" spans="1:38" ht="14.25" customHeight="1" x14ac:dyDescent="0.35">
      <c r="A197" s="22"/>
      <c r="B197" s="22"/>
      <c r="C197" s="23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4"/>
      <c r="Z197" s="22"/>
      <c r="AA197" s="22"/>
      <c r="AB197" s="22"/>
      <c r="AC197" s="22"/>
      <c r="AD197" s="22"/>
      <c r="AE197" s="22"/>
      <c r="AF197" s="22"/>
      <c r="AG197" s="22"/>
      <c r="AH197" s="22"/>
      <c r="AI197" s="24"/>
      <c r="AJ197" s="22"/>
      <c r="AK197" s="22"/>
      <c r="AL197" s="22"/>
    </row>
    <row r="198" spans="1:38" ht="14.25" customHeight="1" x14ac:dyDescent="0.35">
      <c r="A198" s="22"/>
      <c r="B198" s="22"/>
      <c r="C198" s="23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4"/>
      <c r="Z198" s="22"/>
      <c r="AA198" s="22"/>
      <c r="AB198" s="22"/>
      <c r="AC198" s="22"/>
      <c r="AD198" s="22"/>
      <c r="AE198" s="22"/>
      <c r="AF198" s="22"/>
      <c r="AG198" s="22"/>
      <c r="AH198" s="22"/>
      <c r="AI198" s="24"/>
      <c r="AJ198" s="22"/>
      <c r="AK198" s="22"/>
      <c r="AL198" s="22"/>
    </row>
    <row r="199" spans="1:38" ht="14.25" customHeight="1" x14ac:dyDescent="0.35">
      <c r="A199" s="22"/>
      <c r="B199" s="22"/>
      <c r="C199" s="23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4"/>
      <c r="Z199" s="22"/>
      <c r="AA199" s="22"/>
      <c r="AB199" s="22"/>
      <c r="AC199" s="22"/>
      <c r="AD199" s="22"/>
      <c r="AE199" s="22"/>
      <c r="AF199" s="22"/>
      <c r="AG199" s="22"/>
      <c r="AH199" s="22"/>
      <c r="AI199" s="24"/>
      <c r="AJ199" s="22"/>
      <c r="AK199" s="22"/>
      <c r="AL199" s="22"/>
    </row>
    <row r="200" spans="1:38" ht="14.25" customHeight="1" x14ac:dyDescent="0.35">
      <c r="A200" s="22"/>
      <c r="B200" s="22"/>
      <c r="C200" s="23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4"/>
      <c r="Z200" s="22"/>
      <c r="AA200" s="22"/>
      <c r="AB200" s="22"/>
      <c r="AC200" s="22"/>
      <c r="AD200" s="22"/>
      <c r="AE200" s="22"/>
      <c r="AF200" s="22"/>
      <c r="AG200" s="22"/>
      <c r="AH200" s="22"/>
      <c r="AI200" s="24"/>
      <c r="AJ200" s="22"/>
      <c r="AK200" s="22"/>
      <c r="AL200" s="22"/>
    </row>
    <row r="201" spans="1:38" ht="14.25" customHeight="1" x14ac:dyDescent="0.35">
      <c r="A201" s="22"/>
      <c r="B201" s="22"/>
      <c r="C201" s="23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4"/>
      <c r="Z201" s="22"/>
      <c r="AA201" s="22"/>
      <c r="AB201" s="22"/>
      <c r="AC201" s="22"/>
      <c r="AD201" s="22"/>
      <c r="AE201" s="22"/>
      <c r="AF201" s="22"/>
      <c r="AG201" s="22"/>
      <c r="AH201" s="22"/>
      <c r="AI201" s="24"/>
      <c r="AJ201" s="22"/>
      <c r="AK201" s="22"/>
      <c r="AL201" s="22"/>
    </row>
    <row r="202" spans="1:38" ht="14.25" customHeight="1" x14ac:dyDescent="0.35">
      <c r="A202" s="22"/>
      <c r="B202" s="22"/>
      <c r="C202" s="23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4"/>
      <c r="Z202" s="22"/>
      <c r="AA202" s="22"/>
      <c r="AB202" s="22"/>
      <c r="AC202" s="22"/>
      <c r="AD202" s="22"/>
      <c r="AE202" s="22"/>
      <c r="AF202" s="22"/>
      <c r="AG202" s="22"/>
      <c r="AH202" s="22"/>
      <c r="AI202" s="24"/>
      <c r="AJ202" s="22"/>
      <c r="AK202" s="22"/>
      <c r="AL202" s="22"/>
    </row>
    <row r="203" spans="1:38" ht="14.25" customHeight="1" x14ac:dyDescent="0.35">
      <c r="A203" s="22"/>
      <c r="B203" s="22"/>
      <c r="C203" s="23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4"/>
      <c r="Z203" s="22"/>
      <c r="AA203" s="22"/>
      <c r="AB203" s="22"/>
      <c r="AC203" s="22"/>
      <c r="AD203" s="22"/>
      <c r="AE203" s="22"/>
      <c r="AF203" s="22"/>
      <c r="AG203" s="22"/>
      <c r="AH203" s="22"/>
      <c r="AI203" s="24"/>
      <c r="AJ203" s="22"/>
      <c r="AK203" s="22"/>
      <c r="AL203" s="22"/>
    </row>
    <row r="204" spans="1:38" ht="14.25" customHeight="1" x14ac:dyDescent="0.35">
      <c r="A204" s="22"/>
      <c r="B204" s="22"/>
      <c r="C204" s="23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4"/>
      <c r="Z204" s="22"/>
      <c r="AA204" s="22"/>
      <c r="AB204" s="22"/>
      <c r="AC204" s="22"/>
      <c r="AD204" s="22"/>
      <c r="AE204" s="22"/>
      <c r="AF204" s="22"/>
      <c r="AG204" s="22"/>
      <c r="AH204" s="22"/>
      <c r="AI204" s="24"/>
      <c r="AJ204" s="22"/>
      <c r="AK204" s="22"/>
      <c r="AL204" s="22"/>
    </row>
    <row r="205" spans="1:38" ht="14.25" customHeight="1" x14ac:dyDescent="0.35">
      <c r="A205" s="22"/>
      <c r="B205" s="22"/>
      <c r="C205" s="23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4"/>
      <c r="Z205" s="22"/>
      <c r="AA205" s="22"/>
      <c r="AB205" s="22"/>
      <c r="AC205" s="22"/>
      <c r="AD205" s="22"/>
      <c r="AE205" s="22"/>
      <c r="AF205" s="22"/>
      <c r="AG205" s="22"/>
      <c r="AH205" s="22"/>
      <c r="AI205" s="24"/>
      <c r="AJ205" s="22"/>
      <c r="AK205" s="22"/>
      <c r="AL205" s="22"/>
    </row>
    <row r="206" spans="1:38" ht="14.25" customHeight="1" x14ac:dyDescent="0.35">
      <c r="A206" s="22"/>
      <c r="B206" s="22"/>
      <c r="C206" s="23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4"/>
      <c r="Z206" s="22"/>
      <c r="AA206" s="22"/>
      <c r="AB206" s="22"/>
      <c r="AC206" s="22"/>
      <c r="AD206" s="22"/>
      <c r="AE206" s="22"/>
      <c r="AF206" s="22"/>
      <c r="AG206" s="22"/>
      <c r="AH206" s="22"/>
      <c r="AI206" s="24"/>
      <c r="AJ206" s="22"/>
      <c r="AK206" s="22"/>
      <c r="AL206" s="22"/>
    </row>
    <row r="207" spans="1:38" ht="14.25" customHeight="1" x14ac:dyDescent="0.35">
      <c r="A207" s="22"/>
      <c r="B207" s="22"/>
      <c r="C207" s="23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4"/>
      <c r="Z207" s="22"/>
      <c r="AA207" s="22"/>
      <c r="AB207" s="22"/>
      <c r="AC207" s="22"/>
      <c r="AD207" s="22"/>
      <c r="AE207" s="22"/>
      <c r="AF207" s="22"/>
      <c r="AG207" s="22"/>
      <c r="AH207" s="22"/>
      <c r="AI207" s="24"/>
      <c r="AJ207" s="22"/>
      <c r="AK207" s="22"/>
      <c r="AL207" s="22"/>
    </row>
    <row r="208" spans="1:38" ht="14.25" customHeight="1" x14ac:dyDescent="0.35">
      <c r="A208" s="22"/>
      <c r="B208" s="22"/>
      <c r="C208" s="23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4"/>
      <c r="Z208" s="22"/>
      <c r="AA208" s="22"/>
      <c r="AB208" s="22"/>
      <c r="AC208" s="22"/>
      <c r="AD208" s="22"/>
      <c r="AE208" s="22"/>
      <c r="AF208" s="22"/>
      <c r="AG208" s="22"/>
      <c r="AH208" s="22"/>
      <c r="AI208" s="24"/>
      <c r="AJ208" s="22"/>
      <c r="AK208" s="22"/>
      <c r="AL208" s="22"/>
    </row>
    <row r="209" spans="1:38" ht="14.25" customHeight="1" x14ac:dyDescent="0.35">
      <c r="A209" s="22"/>
      <c r="B209" s="22"/>
      <c r="C209" s="23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4"/>
      <c r="Z209" s="22"/>
      <c r="AA209" s="22"/>
      <c r="AB209" s="22"/>
      <c r="AC209" s="22"/>
      <c r="AD209" s="22"/>
      <c r="AE209" s="22"/>
      <c r="AF209" s="22"/>
      <c r="AG209" s="22"/>
      <c r="AH209" s="22"/>
      <c r="AI209" s="24"/>
      <c r="AJ209" s="22"/>
      <c r="AK209" s="22"/>
      <c r="AL209" s="22"/>
    </row>
    <row r="210" spans="1:38" ht="14.25" customHeight="1" x14ac:dyDescent="0.35">
      <c r="A210" s="22"/>
      <c r="B210" s="22"/>
      <c r="C210" s="23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4"/>
      <c r="Z210" s="22"/>
      <c r="AA210" s="22"/>
      <c r="AB210" s="22"/>
      <c r="AC210" s="22"/>
      <c r="AD210" s="22"/>
      <c r="AE210" s="22"/>
      <c r="AF210" s="22"/>
      <c r="AG210" s="22"/>
      <c r="AH210" s="22"/>
      <c r="AI210" s="24"/>
      <c r="AJ210" s="22"/>
      <c r="AK210" s="22"/>
      <c r="AL210" s="22"/>
    </row>
    <row r="211" spans="1:38" ht="14.25" customHeight="1" x14ac:dyDescent="0.35">
      <c r="A211" s="22"/>
      <c r="B211" s="22"/>
      <c r="C211" s="23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4"/>
      <c r="Z211" s="22"/>
      <c r="AA211" s="22"/>
      <c r="AB211" s="22"/>
      <c r="AC211" s="22"/>
      <c r="AD211" s="22"/>
      <c r="AE211" s="22"/>
      <c r="AF211" s="22"/>
      <c r="AG211" s="22"/>
      <c r="AH211" s="22"/>
      <c r="AI211" s="24"/>
      <c r="AJ211" s="22"/>
      <c r="AK211" s="22"/>
      <c r="AL211" s="22"/>
    </row>
    <row r="212" spans="1:38" ht="14.25" customHeight="1" x14ac:dyDescent="0.35">
      <c r="A212" s="22"/>
      <c r="B212" s="22"/>
      <c r="C212" s="23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4"/>
      <c r="Z212" s="22"/>
      <c r="AA212" s="22"/>
      <c r="AB212" s="22"/>
      <c r="AC212" s="22"/>
      <c r="AD212" s="22"/>
      <c r="AE212" s="22"/>
      <c r="AF212" s="22"/>
      <c r="AG212" s="22"/>
      <c r="AH212" s="22"/>
      <c r="AI212" s="24"/>
      <c r="AJ212" s="22"/>
      <c r="AK212" s="22"/>
      <c r="AL212" s="22"/>
    </row>
    <row r="213" spans="1:38" ht="14.25" customHeight="1" x14ac:dyDescent="0.35">
      <c r="A213" s="22"/>
      <c r="B213" s="22"/>
      <c r="C213" s="23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4"/>
      <c r="Z213" s="22"/>
      <c r="AA213" s="22"/>
      <c r="AB213" s="22"/>
      <c r="AC213" s="22"/>
      <c r="AD213" s="22"/>
      <c r="AE213" s="22"/>
      <c r="AF213" s="22"/>
      <c r="AG213" s="22"/>
      <c r="AH213" s="22"/>
      <c r="AI213" s="24"/>
      <c r="AJ213" s="22"/>
      <c r="AK213" s="22"/>
      <c r="AL213" s="22"/>
    </row>
    <row r="214" spans="1:38" ht="14.25" customHeight="1" x14ac:dyDescent="0.35">
      <c r="A214" s="22"/>
      <c r="B214" s="22"/>
      <c r="C214" s="23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4"/>
      <c r="Z214" s="22"/>
      <c r="AA214" s="22"/>
      <c r="AB214" s="22"/>
      <c r="AC214" s="22"/>
      <c r="AD214" s="22"/>
      <c r="AE214" s="22"/>
      <c r="AF214" s="22"/>
      <c r="AG214" s="22"/>
      <c r="AH214" s="22"/>
      <c r="AI214" s="24"/>
      <c r="AJ214" s="22"/>
      <c r="AK214" s="22"/>
      <c r="AL214" s="22"/>
    </row>
    <row r="215" spans="1:38" ht="14.25" customHeight="1" x14ac:dyDescent="0.35">
      <c r="A215" s="22"/>
      <c r="B215" s="22"/>
      <c r="C215" s="23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4"/>
      <c r="Z215" s="22"/>
      <c r="AA215" s="22"/>
      <c r="AB215" s="22"/>
      <c r="AC215" s="22"/>
      <c r="AD215" s="22"/>
      <c r="AE215" s="22"/>
      <c r="AF215" s="22"/>
      <c r="AG215" s="22"/>
      <c r="AH215" s="22"/>
      <c r="AI215" s="24"/>
      <c r="AJ215" s="22"/>
      <c r="AK215" s="22"/>
      <c r="AL215" s="22"/>
    </row>
    <row r="216" spans="1:38" ht="14.25" customHeight="1" x14ac:dyDescent="0.35">
      <c r="A216" s="22"/>
      <c r="B216" s="22"/>
      <c r="C216" s="23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4"/>
      <c r="Z216" s="22"/>
      <c r="AA216" s="22"/>
      <c r="AB216" s="22"/>
      <c r="AC216" s="22"/>
      <c r="AD216" s="22"/>
      <c r="AE216" s="22"/>
      <c r="AF216" s="22"/>
      <c r="AG216" s="22"/>
      <c r="AH216" s="22"/>
      <c r="AI216" s="24"/>
      <c r="AJ216" s="22"/>
      <c r="AK216" s="22"/>
      <c r="AL216" s="22"/>
    </row>
    <row r="217" spans="1:38" ht="14.25" customHeight="1" x14ac:dyDescent="0.35">
      <c r="A217" s="22"/>
      <c r="B217" s="22"/>
      <c r="C217" s="23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4"/>
      <c r="Z217" s="22"/>
      <c r="AA217" s="22"/>
      <c r="AB217" s="22"/>
      <c r="AC217" s="22"/>
      <c r="AD217" s="22"/>
      <c r="AE217" s="22"/>
      <c r="AF217" s="22"/>
      <c r="AG217" s="22"/>
      <c r="AH217" s="22"/>
      <c r="AI217" s="24"/>
      <c r="AJ217" s="22"/>
      <c r="AK217" s="22"/>
      <c r="AL217" s="22"/>
    </row>
    <row r="218" spans="1:38" ht="14.25" customHeight="1" x14ac:dyDescent="0.35">
      <c r="A218" s="22"/>
      <c r="B218" s="22"/>
      <c r="C218" s="23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4"/>
      <c r="Z218" s="22"/>
      <c r="AA218" s="22"/>
      <c r="AB218" s="22"/>
      <c r="AC218" s="22"/>
      <c r="AD218" s="22"/>
      <c r="AE218" s="22"/>
      <c r="AF218" s="22"/>
      <c r="AG218" s="22"/>
      <c r="AH218" s="22"/>
      <c r="AI218" s="24"/>
      <c r="AJ218" s="22"/>
      <c r="AK218" s="22"/>
      <c r="AL218" s="22"/>
    </row>
    <row r="219" spans="1:38" ht="14.25" customHeight="1" x14ac:dyDescent="0.35">
      <c r="A219" s="22"/>
      <c r="B219" s="22"/>
      <c r="C219" s="23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4"/>
      <c r="Z219" s="22"/>
      <c r="AA219" s="22"/>
      <c r="AB219" s="22"/>
      <c r="AC219" s="22"/>
      <c r="AD219" s="22"/>
      <c r="AE219" s="22"/>
      <c r="AF219" s="22"/>
      <c r="AG219" s="22"/>
      <c r="AH219" s="22"/>
      <c r="AI219" s="24"/>
      <c r="AJ219" s="22"/>
      <c r="AK219" s="22"/>
      <c r="AL219" s="22"/>
    </row>
    <row r="220" spans="1:38" ht="14.25" customHeight="1" x14ac:dyDescent="0.35">
      <c r="A220" s="22"/>
      <c r="B220" s="22"/>
      <c r="C220" s="23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4"/>
      <c r="Z220" s="22"/>
      <c r="AA220" s="22"/>
      <c r="AB220" s="22"/>
      <c r="AC220" s="22"/>
      <c r="AD220" s="22"/>
      <c r="AE220" s="22"/>
      <c r="AF220" s="22"/>
      <c r="AG220" s="22"/>
      <c r="AH220" s="22"/>
      <c r="AI220" s="24"/>
      <c r="AJ220" s="22"/>
      <c r="AK220" s="22"/>
      <c r="AL220" s="22"/>
    </row>
    <row r="221" spans="1:38" ht="14.25" customHeight="1" x14ac:dyDescent="0.35">
      <c r="A221" s="22"/>
      <c r="B221" s="22"/>
      <c r="C221" s="23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4"/>
      <c r="Z221" s="22"/>
      <c r="AA221" s="22"/>
      <c r="AB221" s="22"/>
      <c r="AC221" s="22"/>
      <c r="AD221" s="22"/>
      <c r="AE221" s="22"/>
      <c r="AF221" s="22"/>
      <c r="AG221" s="22"/>
      <c r="AH221" s="22"/>
      <c r="AI221" s="24"/>
      <c r="AJ221" s="22"/>
      <c r="AK221" s="22"/>
      <c r="AL221" s="22"/>
    </row>
    <row r="222" spans="1:38" ht="14.25" customHeight="1" x14ac:dyDescent="0.35">
      <c r="A222" s="22"/>
      <c r="B222" s="22"/>
      <c r="C222" s="23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4"/>
      <c r="Z222" s="22"/>
      <c r="AA222" s="22"/>
      <c r="AB222" s="22"/>
      <c r="AC222" s="22"/>
      <c r="AD222" s="22"/>
      <c r="AE222" s="22"/>
      <c r="AF222" s="22"/>
      <c r="AG222" s="22"/>
      <c r="AH222" s="22"/>
      <c r="AI222" s="24"/>
      <c r="AJ222" s="22"/>
      <c r="AK222" s="22"/>
      <c r="AL222" s="22"/>
    </row>
    <row r="223" spans="1:38" ht="14.25" customHeight="1" x14ac:dyDescent="0.35">
      <c r="A223" s="22"/>
      <c r="B223" s="22"/>
      <c r="C223" s="23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4"/>
      <c r="Z223" s="22"/>
      <c r="AA223" s="22"/>
      <c r="AB223" s="22"/>
      <c r="AC223" s="22"/>
      <c r="AD223" s="22"/>
      <c r="AE223" s="22"/>
      <c r="AF223" s="22"/>
      <c r="AG223" s="22"/>
      <c r="AH223" s="22"/>
      <c r="AI223" s="24"/>
      <c r="AJ223" s="22"/>
      <c r="AK223" s="22"/>
      <c r="AL223" s="22"/>
    </row>
    <row r="224" spans="1:38" ht="14.25" customHeight="1" x14ac:dyDescent="0.35">
      <c r="A224" s="22"/>
      <c r="B224" s="22"/>
      <c r="C224" s="23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4"/>
      <c r="Z224" s="22"/>
      <c r="AA224" s="22"/>
      <c r="AB224" s="22"/>
      <c r="AC224" s="22"/>
      <c r="AD224" s="22"/>
      <c r="AE224" s="22"/>
      <c r="AF224" s="22"/>
      <c r="AG224" s="22"/>
      <c r="AH224" s="22"/>
      <c r="AI224" s="24"/>
      <c r="AJ224" s="22"/>
      <c r="AK224" s="22"/>
      <c r="AL224" s="22"/>
    </row>
    <row r="225" spans="1:38" ht="14.25" customHeight="1" x14ac:dyDescent="0.35">
      <c r="A225" s="22"/>
      <c r="B225" s="22"/>
      <c r="C225" s="23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4"/>
      <c r="Z225" s="22"/>
      <c r="AA225" s="22"/>
      <c r="AB225" s="22"/>
      <c r="AC225" s="22"/>
      <c r="AD225" s="22"/>
      <c r="AE225" s="22"/>
      <c r="AF225" s="22"/>
      <c r="AG225" s="22"/>
      <c r="AH225" s="22"/>
      <c r="AI225" s="24"/>
      <c r="AJ225" s="22"/>
      <c r="AK225" s="22"/>
      <c r="AL225" s="22"/>
    </row>
    <row r="226" spans="1:38" ht="14.25" customHeight="1" x14ac:dyDescent="0.35">
      <c r="A226" s="22"/>
      <c r="B226" s="22"/>
      <c r="C226" s="23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4"/>
      <c r="Z226" s="22"/>
      <c r="AA226" s="22"/>
      <c r="AB226" s="22"/>
      <c r="AC226" s="22"/>
      <c r="AD226" s="22"/>
      <c r="AE226" s="22"/>
      <c r="AF226" s="22"/>
      <c r="AG226" s="22"/>
      <c r="AH226" s="22"/>
      <c r="AI226" s="24"/>
      <c r="AJ226" s="22"/>
      <c r="AK226" s="22"/>
      <c r="AL226" s="22"/>
    </row>
    <row r="227" spans="1:38" ht="14.25" customHeight="1" x14ac:dyDescent="0.35">
      <c r="A227" s="22"/>
      <c r="B227" s="22"/>
      <c r="C227" s="23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4"/>
      <c r="Z227" s="22"/>
      <c r="AA227" s="22"/>
      <c r="AB227" s="22"/>
      <c r="AC227" s="22"/>
      <c r="AD227" s="22"/>
      <c r="AE227" s="22"/>
      <c r="AF227" s="22"/>
      <c r="AG227" s="22"/>
      <c r="AH227" s="22"/>
      <c r="AI227" s="24"/>
      <c r="AJ227" s="22"/>
      <c r="AK227" s="22"/>
      <c r="AL227" s="22"/>
    </row>
    <row r="228" spans="1:38" ht="14.25" customHeight="1" x14ac:dyDescent="0.35">
      <c r="A228" s="22"/>
      <c r="B228" s="22"/>
      <c r="C228" s="23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4"/>
      <c r="Z228" s="22"/>
      <c r="AA228" s="22"/>
      <c r="AB228" s="22"/>
      <c r="AC228" s="22"/>
      <c r="AD228" s="22"/>
      <c r="AE228" s="22"/>
      <c r="AF228" s="22"/>
      <c r="AG228" s="22"/>
      <c r="AH228" s="22"/>
      <c r="AI228" s="24"/>
      <c r="AJ228" s="22"/>
      <c r="AK228" s="22"/>
      <c r="AL228" s="22"/>
    </row>
    <row r="229" spans="1:38" ht="14.25" customHeight="1" x14ac:dyDescent="0.35">
      <c r="A229" s="22"/>
      <c r="B229" s="22"/>
      <c r="C229" s="23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4"/>
      <c r="Z229" s="22"/>
      <c r="AA229" s="22"/>
      <c r="AB229" s="22"/>
      <c r="AC229" s="22"/>
      <c r="AD229" s="22"/>
      <c r="AE229" s="22"/>
      <c r="AF229" s="22"/>
      <c r="AG229" s="22"/>
      <c r="AH229" s="22"/>
      <c r="AI229" s="24"/>
      <c r="AJ229" s="22"/>
      <c r="AK229" s="22"/>
      <c r="AL229" s="22"/>
    </row>
    <row r="230" spans="1:38" ht="14.25" customHeight="1" x14ac:dyDescent="0.35">
      <c r="A230" s="22"/>
      <c r="B230" s="22"/>
      <c r="C230" s="23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4"/>
      <c r="Z230" s="22"/>
      <c r="AA230" s="22"/>
      <c r="AB230" s="22"/>
      <c r="AC230" s="22"/>
      <c r="AD230" s="22"/>
      <c r="AE230" s="22"/>
      <c r="AF230" s="22"/>
      <c r="AG230" s="22"/>
      <c r="AH230" s="22"/>
      <c r="AI230" s="24"/>
      <c r="AJ230" s="22"/>
      <c r="AK230" s="22"/>
      <c r="AL230" s="22"/>
    </row>
    <row r="231" spans="1:38" ht="14.25" customHeight="1" x14ac:dyDescent="0.35">
      <c r="A231" s="22"/>
      <c r="B231" s="22"/>
      <c r="C231" s="23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4"/>
      <c r="Z231" s="22"/>
      <c r="AA231" s="22"/>
      <c r="AB231" s="22"/>
      <c r="AC231" s="22"/>
      <c r="AD231" s="22"/>
      <c r="AE231" s="22"/>
      <c r="AF231" s="22"/>
      <c r="AG231" s="22"/>
      <c r="AH231" s="22"/>
      <c r="AI231" s="24"/>
      <c r="AJ231" s="22"/>
      <c r="AK231" s="22"/>
      <c r="AL231" s="22"/>
    </row>
    <row r="232" spans="1:38" ht="14.25" customHeight="1" x14ac:dyDescent="0.35">
      <c r="A232" s="22"/>
      <c r="B232" s="22"/>
      <c r="C232" s="23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4"/>
      <c r="Z232" s="22"/>
      <c r="AA232" s="22"/>
      <c r="AB232" s="22"/>
      <c r="AC232" s="22"/>
      <c r="AD232" s="22"/>
      <c r="AE232" s="22"/>
      <c r="AF232" s="22"/>
      <c r="AG232" s="22"/>
      <c r="AH232" s="22"/>
      <c r="AI232" s="24"/>
      <c r="AJ232" s="22"/>
      <c r="AK232" s="22"/>
      <c r="AL232" s="22"/>
    </row>
    <row r="233" spans="1:38" ht="14.25" customHeight="1" x14ac:dyDescent="0.35">
      <c r="A233" s="22"/>
      <c r="B233" s="22"/>
      <c r="C233" s="23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4"/>
      <c r="Z233" s="22"/>
      <c r="AA233" s="22"/>
      <c r="AB233" s="22"/>
      <c r="AC233" s="22"/>
      <c r="AD233" s="22"/>
      <c r="AE233" s="22"/>
      <c r="AF233" s="22"/>
      <c r="AG233" s="22"/>
      <c r="AH233" s="22"/>
      <c r="AI233" s="24"/>
      <c r="AJ233" s="22"/>
      <c r="AK233" s="22"/>
      <c r="AL233" s="22"/>
    </row>
    <row r="234" spans="1:38" ht="14.25" customHeight="1" x14ac:dyDescent="0.35">
      <c r="A234" s="22"/>
      <c r="B234" s="22"/>
      <c r="C234" s="23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4"/>
      <c r="Z234" s="22"/>
      <c r="AA234" s="22"/>
      <c r="AB234" s="22"/>
      <c r="AC234" s="22"/>
      <c r="AD234" s="22"/>
      <c r="AE234" s="22"/>
      <c r="AF234" s="22"/>
      <c r="AG234" s="22"/>
      <c r="AH234" s="22"/>
      <c r="AI234" s="24"/>
      <c r="AJ234" s="22"/>
      <c r="AK234" s="22"/>
      <c r="AL234" s="22"/>
    </row>
    <row r="235" spans="1:38" ht="14.25" customHeight="1" x14ac:dyDescent="0.35">
      <c r="A235" s="22"/>
      <c r="B235" s="22"/>
      <c r="C235" s="23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4"/>
      <c r="Z235" s="22"/>
      <c r="AA235" s="22"/>
      <c r="AB235" s="22"/>
      <c r="AC235" s="22"/>
      <c r="AD235" s="22"/>
      <c r="AE235" s="22"/>
      <c r="AF235" s="22"/>
      <c r="AG235" s="22"/>
      <c r="AH235" s="22"/>
      <c r="AI235" s="24"/>
      <c r="AJ235" s="22"/>
      <c r="AK235" s="22"/>
      <c r="AL235" s="22"/>
    </row>
    <row r="236" spans="1:38" ht="14.25" customHeight="1" x14ac:dyDescent="0.35">
      <c r="A236" s="22"/>
      <c r="B236" s="22"/>
      <c r="C236" s="23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4"/>
      <c r="Z236" s="22"/>
      <c r="AA236" s="22"/>
      <c r="AB236" s="22"/>
      <c r="AC236" s="22"/>
      <c r="AD236" s="22"/>
      <c r="AE236" s="22"/>
      <c r="AF236" s="22"/>
      <c r="AG236" s="22"/>
      <c r="AH236" s="22"/>
      <c r="AI236" s="24"/>
      <c r="AJ236" s="22"/>
      <c r="AK236" s="22"/>
      <c r="AL236" s="22"/>
    </row>
    <row r="237" spans="1:38" ht="14.25" customHeight="1" x14ac:dyDescent="0.35">
      <c r="A237" s="22"/>
      <c r="B237" s="22"/>
      <c r="C237" s="23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4"/>
      <c r="Z237" s="22"/>
      <c r="AA237" s="22"/>
      <c r="AB237" s="22"/>
      <c r="AC237" s="22"/>
      <c r="AD237" s="22"/>
      <c r="AE237" s="22"/>
      <c r="AF237" s="22"/>
      <c r="AG237" s="22"/>
      <c r="AH237" s="22"/>
      <c r="AI237" s="24"/>
      <c r="AJ237" s="22"/>
      <c r="AK237" s="22"/>
      <c r="AL237" s="22"/>
    </row>
    <row r="238" spans="1:38" ht="14.25" customHeight="1" x14ac:dyDescent="0.35">
      <c r="A238" s="22"/>
      <c r="B238" s="22"/>
      <c r="C238" s="23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4"/>
      <c r="Z238" s="22"/>
      <c r="AA238" s="22"/>
      <c r="AB238" s="22"/>
      <c r="AC238" s="22"/>
      <c r="AD238" s="22"/>
      <c r="AE238" s="22"/>
      <c r="AF238" s="22"/>
      <c r="AG238" s="22"/>
      <c r="AH238" s="22"/>
      <c r="AI238" s="24"/>
      <c r="AJ238" s="22"/>
      <c r="AK238" s="22"/>
      <c r="AL238" s="22"/>
    </row>
    <row r="239" spans="1:38" ht="14.25" customHeight="1" x14ac:dyDescent="0.35">
      <c r="A239" s="22"/>
      <c r="B239" s="22"/>
      <c r="C239" s="23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4"/>
      <c r="Z239" s="22"/>
      <c r="AA239" s="22"/>
      <c r="AB239" s="22"/>
      <c r="AC239" s="22"/>
      <c r="AD239" s="22"/>
      <c r="AE239" s="22"/>
      <c r="AF239" s="22"/>
      <c r="AG239" s="22"/>
      <c r="AH239" s="22"/>
      <c r="AI239" s="24"/>
      <c r="AJ239" s="22"/>
      <c r="AK239" s="22"/>
      <c r="AL239" s="22"/>
    </row>
    <row r="240" spans="1:38" ht="14.25" customHeight="1" x14ac:dyDescent="0.35">
      <c r="A240" s="22"/>
      <c r="B240" s="22"/>
      <c r="C240" s="23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4"/>
      <c r="Z240" s="22"/>
      <c r="AA240" s="22"/>
      <c r="AB240" s="22"/>
      <c r="AC240" s="22"/>
      <c r="AD240" s="22"/>
      <c r="AE240" s="22"/>
      <c r="AF240" s="22"/>
      <c r="AG240" s="22"/>
      <c r="AH240" s="22"/>
      <c r="AI240" s="24"/>
      <c r="AJ240" s="22"/>
      <c r="AK240" s="22"/>
      <c r="AL240" s="22"/>
    </row>
    <row r="241" spans="1:38" ht="14.25" customHeight="1" x14ac:dyDescent="0.35">
      <c r="A241" s="22"/>
      <c r="B241" s="22"/>
      <c r="C241" s="23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4"/>
      <c r="Z241" s="22"/>
      <c r="AA241" s="22"/>
      <c r="AB241" s="22"/>
      <c r="AC241" s="22"/>
      <c r="AD241" s="22"/>
      <c r="AE241" s="22"/>
      <c r="AF241" s="22"/>
      <c r="AG241" s="22"/>
      <c r="AH241" s="22"/>
      <c r="AI241" s="24"/>
      <c r="AJ241" s="22"/>
      <c r="AK241" s="22"/>
      <c r="AL241" s="22"/>
    </row>
    <row r="242" spans="1:38" ht="14.25" customHeight="1" x14ac:dyDescent="0.35">
      <c r="A242" s="22"/>
      <c r="B242" s="22"/>
      <c r="C242" s="23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4"/>
      <c r="Z242" s="22"/>
      <c r="AA242" s="22"/>
      <c r="AB242" s="22"/>
      <c r="AC242" s="22"/>
      <c r="AD242" s="22"/>
      <c r="AE242" s="22"/>
      <c r="AF242" s="22"/>
      <c r="AG242" s="22"/>
      <c r="AH242" s="22"/>
      <c r="AI242" s="24"/>
      <c r="AJ242" s="22"/>
      <c r="AK242" s="22"/>
      <c r="AL242" s="22"/>
    </row>
    <row r="243" spans="1:38" ht="14.25" customHeight="1" x14ac:dyDescent="0.35">
      <c r="A243" s="22"/>
      <c r="B243" s="22"/>
      <c r="C243" s="23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4"/>
      <c r="Z243" s="22"/>
      <c r="AA243" s="22"/>
      <c r="AB243" s="22"/>
      <c r="AC243" s="22"/>
      <c r="AD243" s="22"/>
      <c r="AE243" s="22"/>
      <c r="AF243" s="22"/>
      <c r="AG243" s="22"/>
      <c r="AH243" s="22"/>
      <c r="AI243" s="24"/>
      <c r="AJ243" s="22"/>
      <c r="AK243" s="22"/>
      <c r="AL243" s="22"/>
    </row>
    <row r="244" spans="1:38" ht="14.25" customHeight="1" x14ac:dyDescent="0.35">
      <c r="A244" s="22"/>
      <c r="B244" s="22"/>
      <c r="C244" s="23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4"/>
      <c r="Z244" s="22"/>
      <c r="AA244" s="22"/>
      <c r="AB244" s="22"/>
      <c r="AC244" s="22"/>
      <c r="AD244" s="22"/>
      <c r="AE244" s="22"/>
      <c r="AF244" s="22"/>
      <c r="AG244" s="22"/>
      <c r="AH244" s="22"/>
      <c r="AI244" s="24"/>
      <c r="AJ244" s="22"/>
      <c r="AK244" s="22"/>
      <c r="AL244" s="22"/>
    </row>
    <row r="245" spans="1:38" ht="14.25" customHeight="1" x14ac:dyDescent="0.35">
      <c r="A245" s="22"/>
      <c r="B245" s="22"/>
      <c r="C245" s="23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4"/>
      <c r="Z245" s="22"/>
      <c r="AA245" s="22"/>
      <c r="AB245" s="22"/>
      <c r="AC245" s="22"/>
      <c r="AD245" s="22"/>
      <c r="AE245" s="22"/>
      <c r="AF245" s="22"/>
      <c r="AG245" s="22"/>
      <c r="AH245" s="22"/>
      <c r="AI245" s="24"/>
      <c r="AJ245" s="22"/>
      <c r="AK245" s="22"/>
      <c r="AL245" s="22"/>
    </row>
    <row r="246" spans="1:38" ht="14.25" customHeight="1" x14ac:dyDescent="0.35">
      <c r="A246" s="22"/>
      <c r="B246" s="22"/>
      <c r="C246" s="23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4"/>
      <c r="Z246" s="22"/>
      <c r="AA246" s="22"/>
      <c r="AB246" s="22"/>
      <c r="AC246" s="22"/>
      <c r="AD246" s="22"/>
      <c r="AE246" s="22"/>
      <c r="AF246" s="22"/>
      <c r="AG246" s="22"/>
      <c r="AH246" s="22"/>
      <c r="AI246" s="24"/>
      <c r="AJ246" s="22"/>
      <c r="AK246" s="22"/>
      <c r="AL246" s="22"/>
    </row>
    <row r="247" spans="1:38" ht="14.25" customHeight="1" x14ac:dyDescent="0.35">
      <c r="A247" s="22"/>
      <c r="B247" s="22"/>
      <c r="C247" s="23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4"/>
      <c r="Z247" s="22"/>
      <c r="AA247" s="22"/>
      <c r="AB247" s="22"/>
      <c r="AC247" s="22"/>
      <c r="AD247" s="22"/>
      <c r="AE247" s="22"/>
      <c r="AF247" s="22"/>
      <c r="AG247" s="22"/>
      <c r="AH247" s="22"/>
      <c r="AI247" s="24"/>
      <c r="AJ247" s="22"/>
      <c r="AK247" s="22"/>
      <c r="AL247" s="22"/>
    </row>
    <row r="248" spans="1:38" ht="14.25" customHeight="1" x14ac:dyDescent="0.35">
      <c r="A248" s="22"/>
      <c r="B248" s="22"/>
      <c r="C248" s="23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4"/>
      <c r="Z248" s="22"/>
      <c r="AA248" s="22"/>
      <c r="AB248" s="22"/>
      <c r="AC248" s="22"/>
      <c r="AD248" s="22"/>
      <c r="AE248" s="22"/>
      <c r="AF248" s="22"/>
      <c r="AG248" s="22"/>
      <c r="AH248" s="22"/>
      <c r="AI248" s="24"/>
      <c r="AJ248" s="22"/>
      <c r="AK248" s="22"/>
      <c r="AL248" s="22"/>
    </row>
    <row r="249" spans="1:38" ht="14.25" customHeight="1" x14ac:dyDescent="0.35">
      <c r="A249" s="22"/>
      <c r="B249" s="22"/>
      <c r="C249" s="23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4"/>
      <c r="Z249" s="22"/>
      <c r="AA249" s="22"/>
      <c r="AB249" s="22"/>
      <c r="AC249" s="22"/>
      <c r="AD249" s="22"/>
      <c r="AE249" s="22"/>
      <c r="AF249" s="22"/>
      <c r="AG249" s="22"/>
      <c r="AH249" s="22"/>
      <c r="AI249" s="24"/>
      <c r="AJ249" s="22"/>
      <c r="AK249" s="22"/>
      <c r="AL249" s="22"/>
    </row>
    <row r="250" spans="1:38" ht="14.25" customHeight="1" x14ac:dyDescent="0.35">
      <c r="A250" s="22"/>
      <c r="B250" s="22"/>
      <c r="C250" s="23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4"/>
      <c r="Z250" s="22"/>
      <c r="AA250" s="22"/>
      <c r="AB250" s="22"/>
      <c r="AC250" s="22"/>
      <c r="AD250" s="22"/>
      <c r="AE250" s="22"/>
      <c r="AF250" s="22"/>
      <c r="AG250" s="22"/>
      <c r="AH250" s="22"/>
      <c r="AI250" s="24"/>
      <c r="AJ250" s="22"/>
      <c r="AK250" s="22"/>
      <c r="AL250" s="22"/>
    </row>
    <row r="251" spans="1:38" ht="14.25" customHeight="1" x14ac:dyDescent="0.35">
      <c r="A251" s="22"/>
      <c r="B251" s="22"/>
      <c r="C251" s="23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4"/>
      <c r="Z251" s="22"/>
      <c r="AA251" s="22"/>
      <c r="AB251" s="22"/>
      <c r="AC251" s="22"/>
      <c r="AD251" s="22"/>
      <c r="AE251" s="22"/>
      <c r="AF251" s="22"/>
      <c r="AG251" s="22"/>
      <c r="AH251" s="22"/>
      <c r="AI251" s="24"/>
      <c r="AJ251" s="22"/>
      <c r="AK251" s="22"/>
      <c r="AL251" s="22"/>
    </row>
    <row r="252" spans="1:38" ht="14.25" customHeight="1" x14ac:dyDescent="0.35">
      <c r="A252" s="22"/>
      <c r="B252" s="22"/>
      <c r="C252" s="23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4"/>
      <c r="Z252" s="22"/>
      <c r="AA252" s="22"/>
      <c r="AB252" s="22"/>
      <c r="AC252" s="22"/>
      <c r="AD252" s="22"/>
      <c r="AE252" s="22"/>
      <c r="AF252" s="22"/>
      <c r="AG252" s="22"/>
      <c r="AH252" s="22"/>
      <c r="AI252" s="24"/>
      <c r="AJ252" s="22"/>
      <c r="AK252" s="22"/>
      <c r="AL252" s="22"/>
    </row>
    <row r="253" spans="1:38" ht="14.25" customHeight="1" x14ac:dyDescent="0.35">
      <c r="A253" s="22"/>
      <c r="B253" s="22"/>
      <c r="C253" s="23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4"/>
      <c r="Z253" s="22"/>
      <c r="AA253" s="22"/>
      <c r="AB253" s="22"/>
      <c r="AC253" s="22"/>
      <c r="AD253" s="22"/>
      <c r="AE253" s="22"/>
      <c r="AF253" s="22"/>
      <c r="AG253" s="22"/>
      <c r="AH253" s="22"/>
      <c r="AI253" s="24"/>
      <c r="AJ253" s="22"/>
      <c r="AK253" s="22"/>
      <c r="AL253" s="22"/>
    </row>
    <row r="254" spans="1:38" ht="14.25" customHeight="1" x14ac:dyDescent="0.35">
      <c r="A254" s="22"/>
      <c r="B254" s="22"/>
      <c r="C254" s="23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4"/>
      <c r="Z254" s="22"/>
      <c r="AA254" s="22"/>
      <c r="AB254" s="22"/>
      <c r="AC254" s="22"/>
      <c r="AD254" s="22"/>
      <c r="AE254" s="22"/>
      <c r="AF254" s="22"/>
      <c r="AG254" s="22"/>
      <c r="AH254" s="22"/>
      <c r="AI254" s="24"/>
      <c r="AJ254" s="22"/>
      <c r="AK254" s="22"/>
      <c r="AL254" s="22"/>
    </row>
    <row r="255" spans="1:38" ht="14.25" customHeight="1" x14ac:dyDescent="0.35">
      <c r="A255" s="22"/>
      <c r="B255" s="22"/>
      <c r="C255" s="23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4"/>
      <c r="Z255" s="22"/>
      <c r="AA255" s="22"/>
      <c r="AB255" s="22"/>
      <c r="AC255" s="22"/>
      <c r="AD255" s="22"/>
      <c r="AE255" s="22"/>
      <c r="AF255" s="22"/>
      <c r="AG255" s="22"/>
      <c r="AH255" s="22"/>
      <c r="AI255" s="24"/>
      <c r="AJ255" s="22"/>
      <c r="AK255" s="22"/>
      <c r="AL255" s="22"/>
    </row>
    <row r="256" spans="1:38" ht="14.25" customHeight="1" x14ac:dyDescent="0.35">
      <c r="A256" s="22"/>
      <c r="B256" s="22"/>
      <c r="C256" s="23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4"/>
      <c r="Z256" s="22"/>
      <c r="AA256" s="22"/>
      <c r="AB256" s="22"/>
      <c r="AC256" s="22"/>
      <c r="AD256" s="22"/>
      <c r="AE256" s="22"/>
      <c r="AF256" s="22"/>
      <c r="AG256" s="22"/>
      <c r="AH256" s="22"/>
      <c r="AI256" s="24"/>
      <c r="AJ256" s="22"/>
      <c r="AK256" s="22"/>
      <c r="AL256" s="22"/>
    </row>
    <row r="257" spans="1:38" ht="14.25" customHeight="1" x14ac:dyDescent="0.35">
      <c r="A257" s="22"/>
      <c r="B257" s="22"/>
      <c r="C257" s="23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4"/>
      <c r="Z257" s="22"/>
      <c r="AA257" s="22"/>
      <c r="AB257" s="22"/>
      <c r="AC257" s="22"/>
      <c r="AD257" s="22"/>
      <c r="AE257" s="22"/>
      <c r="AF257" s="22"/>
      <c r="AG257" s="22"/>
      <c r="AH257" s="22"/>
      <c r="AI257" s="24"/>
      <c r="AJ257" s="22"/>
      <c r="AK257" s="22"/>
      <c r="AL257" s="22"/>
    </row>
    <row r="258" spans="1:38" ht="14.25" customHeight="1" x14ac:dyDescent="0.35">
      <c r="A258" s="22"/>
      <c r="B258" s="22"/>
      <c r="C258" s="23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4"/>
      <c r="Z258" s="22"/>
      <c r="AA258" s="22"/>
      <c r="AB258" s="22"/>
      <c r="AC258" s="22"/>
      <c r="AD258" s="22"/>
      <c r="AE258" s="22"/>
      <c r="AF258" s="22"/>
      <c r="AG258" s="22"/>
      <c r="AH258" s="22"/>
      <c r="AI258" s="24"/>
      <c r="AJ258" s="22"/>
      <c r="AK258" s="22"/>
      <c r="AL258" s="22"/>
    </row>
    <row r="259" spans="1:38" ht="14.25" customHeight="1" x14ac:dyDescent="0.35">
      <c r="A259" s="22"/>
      <c r="B259" s="22"/>
      <c r="C259" s="23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4"/>
      <c r="Z259" s="22"/>
      <c r="AA259" s="22"/>
      <c r="AB259" s="22"/>
      <c r="AC259" s="22"/>
      <c r="AD259" s="22"/>
      <c r="AE259" s="22"/>
      <c r="AF259" s="22"/>
      <c r="AG259" s="22"/>
      <c r="AH259" s="22"/>
      <c r="AI259" s="24"/>
      <c r="AJ259" s="22"/>
      <c r="AK259" s="22"/>
      <c r="AL259" s="22"/>
    </row>
    <row r="260" spans="1:38" ht="14.25" customHeight="1" x14ac:dyDescent="0.35">
      <c r="A260" s="22"/>
      <c r="B260" s="22"/>
      <c r="C260" s="23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4"/>
      <c r="Z260" s="22"/>
      <c r="AA260" s="22"/>
      <c r="AB260" s="22"/>
      <c r="AC260" s="22"/>
      <c r="AD260" s="22"/>
      <c r="AE260" s="22"/>
      <c r="AF260" s="22"/>
      <c r="AG260" s="22"/>
      <c r="AH260" s="22"/>
      <c r="AI260" s="24"/>
      <c r="AJ260" s="22"/>
      <c r="AK260" s="22"/>
      <c r="AL260" s="22"/>
    </row>
    <row r="261" spans="1:38" ht="14.25" customHeight="1" x14ac:dyDescent="0.35">
      <c r="A261" s="22"/>
      <c r="B261" s="22"/>
      <c r="C261" s="23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4"/>
      <c r="Z261" s="22"/>
      <c r="AA261" s="22"/>
      <c r="AB261" s="22"/>
      <c r="AC261" s="22"/>
      <c r="AD261" s="22"/>
      <c r="AE261" s="22"/>
      <c r="AF261" s="22"/>
      <c r="AG261" s="22"/>
      <c r="AH261" s="22"/>
      <c r="AI261" s="24"/>
      <c r="AJ261" s="22"/>
      <c r="AK261" s="22"/>
      <c r="AL261" s="22"/>
    </row>
    <row r="262" spans="1:38" ht="14.25" customHeight="1" x14ac:dyDescent="0.35">
      <c r="A262" s="22"/>
      <c r="B262" s="22"/>
      <c r="C262" s="23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4"/>
      <c r="Z262" s="22"/>
      <c r="AA262" s="22"/>
      <c r="AB262" s="22"/>
      <c r="AC262" s="22"/>
      <c r="AD262" s="22"/>
      <c r="AE262" s="22"/>
      <c r="AF262" s="22"/>
      <c r="AG262" s="22"/>
      <c r="AH262" s="22"/>
      <c r="AI262" s="24"/>
      <c r="AJ262" s="22"/>
      <c r="AK262" s="22"/>
      <c r="AL262" s="22"/>
    </row>
    <row r="263" spans="1:38" ht="14.25" customHeight="1" x14ac:dyDescent="0.35">
      <c r="A263" s="22"/>
      <c r="B263" s="22"/>
      <c r="C263" s="23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4"/>
      <c r="Z263" s="22"/>
      <c r="AA263" s="22"/>
      <c r="AB263" s="22"/>
      <c r="AC263" s="22"/>
      <c r="AD263" s="22"/>
      <c r="AE263" s="22"/>
      <c r="AF263" s="22"/>
      <c r="AG263" s="22"/>
      <c r="AH263" s="22"/>
      <c r="AI263" s="24"/>
      <c r="AJ263" s="22"/>
      <c r="AK263" s="22"/>
      <c r="AL263" s="22"/>
    </row>
    <row r="264" spans="1:38" ht="14.25" customHeight="1" x14ac:dyDescent="0.35">
      <c r="A264" s="22"/>
      <c r="B264" s="22"/>
      <c r="C264" s="23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4"/>
      <c r="Z264" s="22"/>
      <c r="AA264" s="22"/>
      <c r="AB264" s="22"/>
      <c r="AC264" s="22"/>
      <c r="AD264" s="22"/>
      <c r="AE264" s="22"/>
      <c r="AF264" s="22"/>
      <c r="AG264" s="22"/>
      <c r="AH264" s="22"/>
      <c r="AI264" s="24"/>
      <c r="AJ264" s="22"/>
      <c r="AK264" s="22"/>
      <c r="AL264" s="22"/>
    </row>
    <row r="265" spans="1:38" ht="14.25" customHeight="1" x14ac:dyDescent="0.35">
      <c r="A265" s="22"/>
      <c r="B265" s="22"/>
      <c r="C265" s="23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4"/>
      <c r="Z265" s="22"/>
      <c r="AA265" s="22"/>
      <c r="AB265" s="22"/>
      <c r="AC265" s="22"/>
      <c r="AD265" s="22"/>
      <c r="AE265" s="22"/>
      <c r="AF265" s="22"/>
      <c r="AG265" s="22"/>
      <c r="AH265" s="22"/>
      <c r="AI265" s="24"/>
      <c r="AJ265" s="22"/>
      <c r="AK265" s="22"/>
      <c r="AL265" s="22"/>
    </row>
    <row r="266" spans="1:38" ht="14.25" customHeight="1" x14ac:dyDescent="0.35">
      <c r="A266" s="22"/>
      <c r="B266" s="22"/>
      <c r="C266" s="23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4"/>
      <c r="Z266" s="22"/>
      <c r="AA266" s="22"/>
      <c r="AB266" s="22"/>
      <c r="AC266" s="22"/>
      <c r="AD266" s="22"/>
      <c r="AE266" s="22"/>
      <c r="AF266" s="22"/>
      <c r="AG266" s="22"/>
      <c r="AH266" s="22"/>
      <c r="AI266" s="24"/>
      <c r="AJ266" s="22"/>
      <c r="AK266" s="22"/>
      <c r="AL266" s="22"/>
    </row>
    <row r="267" spans="1:38" ht="14.25" customHeight="1" x14ac:dyDescent="0.35">
      <c r="A267" s="22"/>
      <c r="B267" s="22"/>
      <c r="C267" s="23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4"/>
      <c r="Z267" s="22"/>
      <c r="AA267" s="22"/>
      <c r="AB267" s="22"/>
      <c r="AC267" s="22"/>
      <c r="AD267" s="22"/>
      <c r="AE267" s="22"/>
      <c r="AF267" s="22"/>
      <c r="AG267" s="22"/>
      <c r="AH267" s="22"/>
      <c r="AI267" s="24"/>
      <c r="AJ267" s="22"/>
      <c r="AK267" s="22"/>
      <c r="AL267" s="22"/>
    </row>
    <row r="268" spans="1:38" ht="14.25" customHeight="1" x14ac:dyDescent="0.35">
      <c r="A268" s="22"/>
      <c r="B268" s="22"/>
      <c r="C268" s="23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4"/>
      <c r="Z268" s="22"/>
      <c r="AA268" s="22"/>
      <c r="AB268" s="22"/>
      <c r="AC268" s="22"/>
      <c r="AD268" s="22"/>
      <c r="AE268" s="22"/>
      <c r="AF268" s="22"/>
      <c r="AG268" s="22"/>
      <c r="AH268" s="22"/>
      <c r="AI268" s="24"/>
      <c r="AJ268" s="22"/>
      <c r="AK268" s="22"/>
      <c r="AL268" s="22"/>
    </row>
    <row r="269" spans="1:38" ht="14.25" customHeight="1" x14ac:dyDescent="0.35">
      <c r="A269" s="22"/>
      <c r="B269" s="22"/>
      <c r="C269" s="23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4"/>
      <c r="Z269" s="22"/>
      <c r="AA269" s="22"/>
      <c r="AB269" s="22"/>
      <c r="AC269" s="22"/>
      <c r="AD269" s="22"/>
      <c r="AE269" s="22"/>
      <c r="AF269" s="22"/>
      <c r="AG269" s="22"/>
      <c r="AH269" s="22"/>
      <c r="AI269" s="24"/>
      <c r="AJ269" s="22"/>
      <c r="AK269" s="22"/>
      <c r="AL269" s="22"/>
    </row>
    <row r="270" spans="1:38" ht="14.25" customHeight="1" x14ac:dyDescent="0.35">
      <c r="A270" s="22"/>
      <c r="B270" s="22"/>
      <c r="C270" s="23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4"/>
      <c r="Z270" s="22"/>
      <c r="AA270" s="22"/>
      <c r="AB270" s="22"/>
      <c r="AC270" s="22"/>
      <c r="AD270" s="22"/>
      <c r="AE270" s="22"/>
      <c r="AF270" s="22"/>
      <c r="AG270" s="22"/>
      <c r="AH270" s="22"/>
      <c r="AI270" s="24"/>
      <c r="AJ270" s="22"/>
      <c r="AK270" s="22"/>
      <c r="AL270" s="22"/>
    </row>
    <row r="271" spans="1:38" ht="14.25" customHeight="1" x14ac:dyDescent="0.35">
      <c r="A271" s="22"/>
      <c r="B271" s="22"/>
      <c r="C271" s="23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4"/>
      <c r="Z271" s="22"/>
      <c r="AA271" s="22"/>
      <c r="AB271" s="22"/>
      <c r="AC271" s="22"/>
      <c r="AD271" s="22"/>
      <c r="AE271" s="22"/>
      <c r="AF271" s="22"/>
      <c r="AG271" s="22"/>
      <c r="AH271" s="22"/>
      <c r="AI271" s="24"/>
      <c r="AJ271" s="22"/>
      <c r="AK271" s="22"/>
      <c r="AL271" s="22"/>
    </row>
    <row r="272" spans="1:38" ht="14.25" customHeight="1" x14ac:dyDescent="0.35">
      <c r="A272" s="22"/>
      <c r="B272" s="22"/>
      <c r="C272" s="23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4"/>
      <c r="Z272" s="22"/>
      <c r="AA272" s="22"/>
      <c r="AB272" s="22"/>
      <c r="AC272" s="22"/>
      <c r="AD272" s="22"/>
      <c r="AE272" s="22"/>
      <c r="AF272" s="22"/>
      <c r="AG272" s="22"/>
      <c r="AH272" s="22"/>
      <c r="AI272" s="24"/>
      <c r="AJ272" s="22"/>
      <c r="AK272" s="22"/>
      <c r="AL272" s="22"/>
    </row>
    <row r="273" spans="1:38" ht="14.25" customHeight="1" x14ac:dyDescent="0.35">
      <c r="A273" s="22"/>
      <c r="B273" s="22"/>
      <c r="C273" s="23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4"/>
      <c r="Z273" s="22"/>
      <c r="AA273" s="22"/>
      <c r="AB273" s="22"/>
      <c r="AC273" s="22"/>
      <c r="AD273" s="22"/>
      <c r="AE273" s="22"/>
      <c r="AF273" s="22"/>
      <c r="AG273" s="22"/>
      <c r="AH273" s="22"/>
      <c r="AI273" s="24"/>
      <c r="AJ273" s="22"/>
      <c r="AK273" s="22"/>
      <c r="AL273" s="22"/>
    </row>
    <row r="274" spans="1:38" ht="14.25" customHeight="1" x14ac:dyDescent="0.35">
      <c r="A274" s="22"/>
      <c r="B274" s="22"/>
      <c r="C274" s="23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4"/>
      <c r="Z274" s="22"/>
      <c r="AA274" s="22"/>
      <c r="AB274" s="22"/>
      <c r="AC274" s="22"/>
      <c r="AD274" s="22"/>
      <c r="AE274" s="22"/>
      <c r="AF274" s="22"/>
      <c r="AG274" s="22"/>
      <c r="AH274" s="22"/>
      <c r="AI274" s="24"/>
      <c r="AJ274" s="22"/>
      <c r="AK274" s="22"/>
      <c r="AL274" s="22"/>
    </row>
    <row r="275" spans="1:38" ht="14.25" customHeight="1" x14ac:dyDescent="0.35">
      <c r="A275" s="22"/>
      <c r="B275" s="22"/>
      <c r="C275" s="23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4"/>
      <c r="Z275" s="22"/>
      <c r="AA275" s="22"/>
      <c r="AB275" s="22"/>
      <c r="AC275" s="22"/>
      <c r="AD275" s="22"/>
      <c r="AE275" s="22"/>
      <c r="AF275" s="22"/>
      <c r="AG275" s="22"/>
      <c r="AH275" s="22"/>
      <c r="AI275" s="24"/>
      <c r="AJ275" s="22"/>
      <c r="AK275" s="22"/>
      <c r="AL275" s="22"/>
    </row>
    <row r="276" spans="1:38" ht="14.25" customHeight="1" x14ac:dyDescent="0.35">
      <c r="A276" s="22"/>
      <c r="B276" s="22"/>
      <c r="C276" s="23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4"/>
      <c r="Z276" s="22"/>
      <c r="AA276" s="22"/>
      <c r="AB276" s="22"/>
      <c r="AC276" s="22"/>
      <c r="AD276" s="22"/>
      <c r="AE276" s="22"/>
      <c r="AF276" s="22"/>
      <c r="AG276" s="22"/>
      <c r="AH276" s="22"/>
      <c r="AI276" s="24"/>
      <c r="AJ276" s="22"/>
      <c r="AK276" s="22"/>
      <c r="AL276" s="22"/>
    </row>
    <row r="277" spans="1:38" ht="14.25" customHeight="1" x14ac:dyDescent="0.35">
      <c r="A277" s="22"/>
      <c r="B277" s="22"/>
      <c r="C277" s="23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4"/>
      <c r="Z277" s="22"/>
      <c r="AA277" s="22"/>
      <c r="AB277" s="22"/>
      <c r="AC277" s="22"/>
      <c r="AD277" s="22"/>
      <c r="AE277" s="22"/>
      <c r="AF277" s="22"/>
      <c r="AG277" s="22"/>
      <c r="AH277" s="22"/>
      <c r="AI277" s="24"/>
      <c r="AJ277" s="22"/>
      <c r="AK277" s="22"/>
      <c r="AL277" s="22"/>
    </row>
    <row r="278" spans="1:38" ht="14.25" customHeight="1" x14ac:dyDescent="0.35">
      <c r="A278" s="22"/>
      <c r="B278" s="22"/>
      <c r="C278" s="23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4"/>
      <c r="Z278" s="22"/>
      <c r="AA278" s="22"/>
      <c r="AB278" s="22"/>
      <c r="AC278" s="22"/>
      <c r="AD278" s="22"/>
      <c r="AE278" s="22"/>
      <c r="AF278" s="22"/>
      <c r="AG278" s="22"/>
      <c r="AH278" s="22"/>
      <c r="AI278" s="24"/>
      <c r="AJ278" s="22"/>
      <c r="AK278" s="22"/>
      <c r="AL278" s="22"/>
    </row>
    <row r="279" spans="1:38" ht="14.25" customHeight="1" x14ac:dyDescent="0.35">
      <c r="A279" s="22"/>
      <c r="B279" s="22"/>
      <c r="C279" s="23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4"/>
      <c r="Z279" s="22"/>
      <c r="AA279" s="22"/>
      <c r="AB279" s="22"/>
      <c r="AC279" s="22"/>
      <c r="AD279" s="22"/>
      <c r="AE279" s="22"/>
      <c r="AF279" s="22"/>
      <c r="AG279" s="22"/>
      <c r="AH279" s="22"/>
      <c r="AI279" s="24"/>
      <c r="AJ279" s="22"/>
      <c r="AK279" s="22"/>
      <c r="AL279" s="22"/>
    </row>
    <row r="280" spans="1:38" ht="14.25" customHeight="1" x14ac:dyDescent="0.35">
      <c r="A280" s="22"/>
      <c r="B280" s="22"/>
      <c r="C280" s="23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4"/>
      <c r="Z280" s="22"/>
      <c r="AA280" s="22"/>
      <c r="AB280" s="22"/>
      <c r="AC280" s="22"/>
      <c r="AD280" s="22"/>
      <c r="AE280" s="22"/>
      <c r="AF280" s="22"/>
      <c r="AG280" s="22"/>
      <c r="AH280" s="22"/>
      <c r="AI280" s="24"/>
      <c r="AJ280" s="22"/>
      <c r="AK280" s="22"/>
      <c r="AL280" s="22"/>
    </row>
    <row r="281" spans="1:38" ht="14.25" customHeight="1" x14ac:dyDescent="0.35">
      <c r="A281" s="22"/>
      <c r="B281" s="22"/>
      <c r="C281" s="23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4"/>
      <c r="Z281" s="22"/>
      <c r="AA281" s="22"/>
      <c r="AB281" s="22"/>
      <c r="AC281" s="22"/>
      <c r="AD281" s="22"/>
      <c r="AE281" s="22"/>
      <c r="AF281" s="22"/>
      <c r="AG281" s="22"/>
      <c r="AH281" s="22"/>
      <c r="AI281" s="24"/>
      <c r="AJ281" s="22"/>
      <c r="AK281" s="22"/>
      <c r="AL281" s="22"/>
    </row>
    <row r="282" spans="1:38" ht="14.25" customHeight="1" x14ac:dyDescent="0.35">
      <c r="A282" s="22"/>
      <c r="B282" s="22"/>
      <c r="C282" s="23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4"/>
      <c r="Z282" s="22"/>
      <c r="AA282" s="22"/>
      <c r="AB282" s="22"/>
      <c r="AC282" s="22"/>
      <c r="AD282" s="22"/>
      <c r="AE282" s="22"/>
      <c r="AF282" s="22"/>
      <c r="AG282" s="22"/>
      <c r="AH282" s="22"/>
      <c r="AI282" s="24"/>
      <c r="AJ282" s="22"/>
      <c r="AK282" s="22"/>
      <c r="AL282" s="22"/>
    </row>
    <row r="283" spans="1:38" ht="14.25" customHeight="1" x14ac:dyDescent="0.35">
      <c r="A283" s="22"/>
      <c r="B283" s="22"/>
      <c r="C283" s="23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4"/>
      <c r="Z283" s="22"/>
      <c r="AA283" s="22"/>
      <c r="AB283" s="22"/>
      <c r="AC283" s="22"/>
      <c r="AD283" s="22"/>
      <c r="AE283" s="22"/>
      <c r="AF283" s="22"/>
      <c r="AG283" s="22"/>
      <c r="AH283" s="22"/>
      <c r="AI283" s="24"/>
      <c r="AJ283" s="22"/>
      <c r="AK283" s="22"/>
      <c r="AL283" s="22"/>
    </row>
    <row r="284" spans="1:38" ht="14.25" customHeight="1" x14ac:dyDescent="0.35">
      <c r="A284" s="22"/>
      <c r="B284" s="22"/>
      <c r="C284" s="23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4"/>
      <c r="Z284" s="22"/>
      <c r="AA284" s="22"/>
      <c r="AB284" s="22"/>
      <c r="AC284" s="22"/>
      <c r="AD284" s="22"/>
      <c r="AE284" s="22"/>
      <c r="AF284" s="22"/>
      <c r="AG284" s="22"/>
      <c r="AH284" s="22"/>
      <c r="AI284" s="24"/>
      <c r="AJ284" s="22"/>
      <c r="AK284" s="22"/>
      <c r="AL284" s="22"/>
    </row>
    <row r="285" spans="1:38" ht="14.25" customHeight="1" x14ac:dyDescent="0.35">
      <c r="A285" s="22"/>
      <c r="B285" s="22"/>
      <c r="C285" s="23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4"/>
      <c r="Z285" s="22"/>
      <c r="AA285" s="22"/>
      <c r="AB285" s="22"/>
      <c r="AC285" s="22"/>
      <c r="AD285" s="22"/>
      <c r="AE285" s="22"/>
      <c r="AF285" s="22"/>
      <c r="AG285" s="22"/>
      <c r="AH285" s="22"/>
      <c r="AI285" s="24"/>
      <c r="AJ285" s="22"/>
      <c r="AK285" s="22"/>
      <c r="AL285" s="22"/>
    </row>
    <row r="286" spans="1:38" ht="14.25" customHeight="1" x14ac:dyDescent="0.35">
      <c r="A286" s="22"/>
      <c r="B286" s="22"/>
      <c r="C286" s="23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4"/>
      <c r="Z286" s="22"/>
      <c r="AA286" s="22"/>
      <c r="AB286" s="22"/>
      <c r="AC286" s="22"/>
      <c r="AD286" s="22"/>
      <c r="AE286" s="22"/>
      <c r="AF286" s="22"/>
      <c r="AG286" s="22"/>
      <c r="AH286" s="22"/>
      <c r="AI286" s="24"/>
      <c r="AJ286" s="22"/>
      <c r="AK286" s="22"/>
      <c r="AL286" s="22"/>
    </row>
    <row r="287" spans="1:38" ht="14.25" customHeight="1" x14ac:dyDescent="0.35">
      <c r="A287" s="22"/>
      <c r="B287" s="22"/>
      <c r="C287" s="23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4"/>
      <c r="Z287" s="22"/>
      <c r="AA287" s="22"/>
      <c r="AB287" s="22"/>
      <c r="AC287" s="22"/>
      <c r="AD287" s="22"/>
      <c r="AE287" s="22"/>
      <c r="AF287" s="22"/>
      <c r="AG287" s="22"/>
      <c r="AH287" s="22"/>
      <c r="AI287" s="24"/>
      <c r="AJ287" s="22"/>
      <c r="AK287" s="22"/>
      <c r="AL287" s="22"/>
    </row>
    <row r="288" spans="1:38" ht="14.25" customHeight="1" x14ac:dyDescent="0.35">
      <c r="A288" s="22"/>
      <c r="B288" s="22"/>
      <c r="C288" s="23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4"/>
      <c r="Z288" s="22"/>
      <c r="AA288" s="22"/>
      <c r="AB288" s="22"/>
      <c r="AC288" s="22"/>
      <c r="AD288" s="22"/>
      <c r="AE288" s="22"/>
      <c r="AF288" s="22"/>
      <c r="AG288" s="22"/>
      <c r="AH288" s="22"/>
      <c r="AI288" s="24"/>
      <c r="AJ288" s="22"/>
      <c r="AK288" s="22"/>
      <c r="AL288" s="22"/>
    </row>
    <row r="289" spans="1:38" ht="14.25" customHeight="1" x14ac:dyDescent="0.35">
      <c r="A289" s="22"/>
      <c r="B289" s="22"/>
      <c r="C289" s="23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4"/>
      <c r="Z289" s="22"/>
      <c r="AA289" s="22"/>
      <c r="AB289" s="22"/>
      <c r="AC289" s="22"/>
      <c r="AD289" s="22"/>
      <c r="AE289" s="22"/>
      <c r="AF289" s="22"/>
      <c r="AG289" s="22"/>
      <c r="AH289" s="22"/>
      <c r="AI289" s="24"/>
      <c r="AJ289" s="22"/>
      <c r="AK289" s="22"/>
      <c r="AL289" s="22"/>
    </row>
    <row r="290" spans="1:38" ht="14.25" customHeight="1" x14ac:dyDescent="0.35">
      <c r="A290" s="22"/>
      <c r="B290" s="22"/>
      <c r="C290" s="23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4"/>
      <c r="Z290" s="22"/>
      <c r="AA290" s="22"/>
      <c r="AB290" s="22"/>
      <c r="AC290" s="22"/>
      <c r="AD290" s="22"/>
      <c r="AE290" s="22"/>
      <c r="AF290" s="22"/>
      <c r="AG290" s="22"/>
      <c r="AH290" s="22"/>
      <c r="AI290" s="24"/>
      <c r="AJ290" s="22"/>
      <c r="AK290" s="22"/>
      <c r="AL290" s="22"/>
    </row>
    <row r="291" spans="1:38" ht="14.25" customHeight="1" x14ac:dyDescent="0.35">
      <c r="A291" s="22"/>
      <c r="B291" s="22"/>
      <c r="C291" s="23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4"/>
      <c r="Z291" s="22"/>
      <c r="AA291" s="22"/>
      <c r="AB291" s="22"/>
      <c r="AC291" s="22"/>
      <c r="AD291" s="22"/>
      <c r="AE291" s="22"/>
      <c r="AF291" s="22"/>
      <c r="AG291" s="22"/>
      <c r="AH291" s="22"/>
      <c r="AI291" s="24"/>
      <c r="AJ291" s="22"/>
      <c r="AK291" s="22"/>
      <c r="AL291" s="22"/>
    </row>
    <row r="292" spans="1:38" ht="14.25" customHeight="1" x14ac:dyDescent="0.35">
      <c r="A292" s="22"/>
      <c r="B292" s="22"/>
      <c r="C292" s="23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4"/>
      <c r="Z292" s="22"/>
      <c r="AA292" s="22"/>
      <c r="AB292" s="22"/>
      <c r="AC292" s="22"/>
      <c r="AD292" s="22"/>
      <c r="AE292" s="22"/>
      <c r="AF292" s="22"/>
      <c r="AG292" s="22"/>
      <c r="AH292" s="22"/>
      <c r="AI292" s="24"/>
      <c r="AJ292" s="22"/>
      <c r="AK292" s="22"/>
      <c r="AL292" s="22"/>
    </row>
    <row r="293" spans="1:38" ht="14.25" customHeight="1" x14ac:dyDescent="0.35">
      <c r="A293" s="22"/>
      <c r="B293" s="22"/>
      <c r="C293" s="23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4"/>
      <c r="Z293" s="22"/>
      <c r="AA293" s="22"/>
      <c r="AB293" s="22"/>
      <c r="AC293" s="22"/>
      <c r="AD293" s="22"/>
      <c r="AE293" s="22"/>
      <c r="AF293" s="22"/>
      <c r="AG293" s="22"/>
      <c r="AH293" s="22"/>
      <c r="AI293" s="24"/>
      <c r="AJ293" s="22"/>
      <c r="AK293" s="22"/>
      <c r="AL293" s="22"/>
    </row>
    <row r="294" spans="1:38" ht="14.25" customHeight="1" x14ac:dyDescent="0.35">
      <c r="A294" s="22"/>
      <c r="B294" s="22"/>
      <c r="C294" s="23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4"/>
      <c r="Z294" s="22"/>
      <c r="AA294" s="22"/>
      <c r="AB294" s="22"/>
      <c r="AC294" s="22"/>
      <c r="AD294" s="22"/>
      <c r="AE294" s="22"/>
      <c r="AF294" s="22"/>
      <c r="AG294" s="22"/>
      <c r="AH294" s="22"/>
      <c r="AI294" s="24"/>
      <c r="AJ294" s="22"/>
      <c r="AK294" s="22"/>
      <c r="AL294" s="22"/>
    </row>
    <row r="295" spans="1:38" ht="14.25" customHeight="1" x14ac:dyDescent="0.35">
      <c r="A295" s="22"/>
      <c r="B295" s="22"/>
      <c r="C295" s="23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4"/>
      <c r="Z295" s="22"/>
      <c r="AA295" s="22"/>
      <c r="AB295" s="22"/>
      <c r="AC295" s="22"/>
      <c r="AD295" s="22"/>
      <c r="AE295" s="22"/>
      <c r="AF295" s="22"/>
      <c r="AG295" s="22"/>
      <c r="AH295" s="22"/>
      <c r="AI295" s="24"/>
      <c r="AJ295" s="22"/>
      <c r="AK295" s="22"/>
      <c r="AL295" s="22"/>
    </row>
    <row r="296" spans="1:38" ht="14.25" customHeight="1" x14ac:dyDescent="0.35">
      <c r="A296" s="22"/>
      <c r="B296" s="22"/>
      <c r="C296" s="23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4"/>
      <c r="Z296" s="22"/>
      <c r="AA296" s="22"/>
      <c r="AB296" s="22"/>
      <c r="AC296" s="22"/>
      <c r="AD296" s="22"/>
      <c r="AE296" s="22"/>
      <c r="AF296" s="22"/>
      <c r="AG296" s="22"/>
      <c r="AH296" s="22"/>
      <c r="AI296" s="24"/>
      <c r="AJ296" s="22"/>
      <c r="AK296" s="22"/>
      <c r="AL296" s="22"/>
    </row>
    <row r="297" spans="1:38" ht="14.25" customHeight="1" x14ac:dyDescent="0.35">
      <c r="A297" s="22"/>
      <c r="B297" s="22"/>
      <c r="C297" s="23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4"/>
      <c r="Z297" s="22"/>
      <c r="AA297" s="22"/>
      <c r="AB297" s="22"/>
      <c r="AC297" s="22"/>
      <c r="AD297" s="22"/>
      <c r="AE297" s="22"/>
      <c r="AF297" s="22"/>
      <c r="AG297" s="22"/>
      <c r="AH297" s="22"/>
      <c r="AI297" s="24"/>
      <c r="AJ297" s="22"/>
      <c r="AK297" s="22"/>
      <c r="AL297" s="22"/>
    </row>
    <row r="298" spans="1:38" ht="14.25" customHeight="1" x14ac:dyDescent="0.35">
      <c r="A298" s="22"/>
      <c r="B298" s="22"/>
      <c r="C298" s="23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4"/>
      <c r="Z298" s="22"/>
      <c r="AA298" s="22"/>
      <c r="AB298" s="22"/>
      <c r="AC298" s="22"/>
      <c r="AD298" s="22"/>
      <c r="AE298" s="22"/>
      <c r="AF298" s="22"/>
      <c r="AG298" s="22"/>
      <c r="AH298" s="22"/>
      <c r="AI298" s="24"/>
      <c r="AJ298" s="22"/>
      <c r="AK298" s="22"/>
      <c r="AL298" s="22"/>
    </row>
    <row r="299" spans="1:38" ht="14.25" customHeight="1" x14ac:dyDescent="0.35">
      <c r="A299" s="22"/>
      <c r="B299" s="22"/>
      <c r="C299" s="23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4"/>
      <c r="Z299" s="22"/>
      <c r="AA299" s="22"/>
      <c r="AB299" s="22"/>
      <c r="AC299" s="22"/>
      <c r="AD299" s="22"/>
      <c r="AE299" s="22"/>
      <c r="AF299" s="22"/>
      <c r="AG299" s="22"/>
      <c r="AH299" s="22"/>
      <c r="AI299" s="24"/>
      <c r="AJ299" s="22"/>
      <c r="AK299" s="22"/>
      <c r="AL299" s="22"/>
    </row>
    <row r="300" spans="1:38" ht="14.25" customHeight="1" x14ac:dyDescent="0.35">
      <c r="A300" s="22"/>
      <c r="B300" s="22"/>
      <c r="C300" s="23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4"/>
      <c r="Z300" s="22"/>
      <c r="AA300" s="22"/>
      <c r="AB300" s="22"/>
      <c r="AC300" s="22"/>
      <c r="AD300" s="22"/>
      <c r="AE300" s="22"/>
      <c r="AF300" s="22"/>
      <c r="AG300" s="22"/>
      <c r="AH300" s="22"/>
      <c r="AI300" s="24"/>
      <c r="AJ300" s="22"/>
      <c r="AK300" s="22"/>
      <c r="AL300" s="22"/>
    </row>
    <row r="301" spans="1:38" ht="14.25" customHeight="1" x14ac:dyDescent="0.35">
      <c r="A301" s="22"/>
      <c r="B301" s="22"/>
      <c r="C301" s="23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4"/>
      <c r="Z301" s="22"/>
      <c r="AA301" s="22"/>
      <c r="AB301" s="22"/>
      <c r="AC301" s="22"/>
      <c r="AD301" s="22"/>
      <c r="AE301" s="22"/>
      <c r="AF301" s="22"/>
      <c r="AG301" s="22"/>
      <c r="AH301" s="22"/>
      <c r="AI301" s="24"/>
      <c r="AJ301" s="22"/>
      <c r="AK301" s="22"/>
      <c r="AL301" s="22"/>
    </row>
    <row r="302" spans="1:38" ht="14.25" customHeight="1" x14ac:dyDescent="0.35">
      <c r="A302" s="22"/>
      <c r="B302" s="22"/>
      <c r="C302" s="23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4"/>
      <c r="Z302" s="22"/>
      <c r="AA302" s="22"/>
      <c r="AB302" s="22"/>
      <c r="AC302" s="22"/>
      <c r="AD302" s="22"/>
      <c r="AE302" s="22"/>
      <c r="AF302" s="22"/>
      <c r="AG302" s="22"/>
      <c r="AH302" s="22"/>
      <c r="AI302" s="24"/>
      <c r="AJ302" s="22"/>
      <c r="AK302" s="22"/>
      <c r="AL302" s="22"/>
    </row>
    <row r="303" spans="1:38" ht="14.25" customHeight="1" x14ac:dyDescent="0.35">
      <c r="A303" s="22"/>
      <c r="B303" s="22"/>
      <c r="C303" s="23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4"/>
      <c r="Z303" s="22"/>
      <c r="AA303" s="22"/>
      <c r="AB303" s="22"/>
      <c r="AC303" s="22"/>
      <c r="AD303" s="22"/>
      <c r="AE303" s="22"/>
      <c r="AF303" s="22"/>
      <c r="AG303" s="22"/>
      <c r="AH303" s="22"/>
      <c r="AI303" s="24"/>
      <c r="AJ303" s="22"/>
      <c r="AK303" s="22"/>
      <c r="AL303" s="22"/>
    </row>
    <row r="304" spans="1:38" ht="14.25" customHeight="1" x14ac:dyDescent="0.35">
      <c r="A304" s="22"/>
      <c r="B304" s="22"/>
      <c r="C304" s="23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4"/>
      <c r="Z304" s="22"/>
      <c r="AA304" s="22"/>
      <c r="AB304" s="22"/>
      <c r="AC304" s="22"/>
      <c r="AD304" s="22"/>
      <c r="AE304" s="22"/>
      <c r="AF304" s="22"/>
      <c r="AG304" s="22"/>
      <c r="AH304" s="22"/>
      <c r="AI304" s="24"/>
      <c r="AJ304" s="22"/>
      <c r="AK304" s="22"/>
      <c r="AL304" s="22"/>
    </row>
    <row r="305" spans="1:38" ht="14.25" customHeight="1" x14ac:dyDescent="0.35">
      <c r="A305" s="22"/>
      <c r="B305" s="22"/>
      <c r="C305" s="23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4"/>
      <c r="Z305" s="22"/>
      <c r="AA305" s="22"/>
      <c r="AB305" s="22"/>
      <c r="AC305" s="22"/>
      <c r="AD305" s="22"/>
      <c r="AE305" s="22"/>
      <c r="AF305" s="22"/>
      <c r="AG305" s="22"/>
      <c r="AH305" s="22"/>
      <c r="AI305" s="24"/>
      <c r="AJ305" s="22"/>
      <c r="AK305" s="22"/>
      <c r="AL305" s="22"/>
    </row>
    <row r="306" spans="1:38" ht="14.25" customHeight="1" x14ac:dyDescent="0.35">
      <c r="A306" s="22"/>
      <c r="B306" s="22"/>
      <c r="C306" s="23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4"/>
      <c r="Z306" s="22"/>
      <c r="AA306" s="22"/>
      <c r="AB306" s="22"/>
      <c r="AC306" s="22"/>
      <c r="AD306" s="22"/>
      <c r="AE306" s="22"/>
      <c r="AF306" s="22"/>
      <c r="AG306" s="22"/>
      <c r="AH306" s="22"/>
      <c r="AI306" s="24"/>
      <c r="AJ306" s="22"/>
      <c r="AK306" s="22"/>
      <c r="AL306" s="22"/>
    </row>
    <row r="307" spans="1:38" ht="14.25" customHeight="1" x14ac:dyDescent="0.35">
      <c r="A307" s="22"/>
      <c r="B307" s="22"/>
      <c r="C307" s="23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4"/>
      <c r="Z307" s="22"/>
      <c r="AA307" s="22"/>
      <c r="AB307" s="22"/>
      <c r="AC307" s="22"/>
      <c r="AD307" s="22"/>
      <c r="AE307" s="22"/>
      <c r="AF307" s="22"/>
      <c r="AG307" s="22"/>
      <c r="AH307" s="22"/>
      <c r="AI307" s="24"/>
      <c r="AJ307" s="22"/>
      <c r="AK307" s="22"/>
      <c r="AL307" s="22"/>
    </row>
    <row r="308" spans="1:38" ht="14.25" customHeight="1" x14ac:dyDescent="0.35">
      <c r="A308" s="22"/>
      <c r="B308" s="22"/>
      <c r="C308" s="23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4"/>
      <c r="Z308" s="22"/>
      <c r="AA308" s="22"/>
      <c r="AB308" s="22"/>
      <c r="AC308" s="22"/>
      <c r="AD308" s="22"/>
      <c r="AE308" s="22"/>
      <c r="AF308" s="22"/>
      <c r="AG308" s="22"/>
      <c r="AH308" s="22"/>
      <c r="AI308" s="24"/>
      <c r="AJ308" s="22"/>
      <c r="AK308" s="22"/>
      <c r="AL308" s="22"/>
    </row>
    <row r="309" spans="1:38" ht="14.25" customHeight="1" x14ac:dyDescent="0.35">
      <c r="A309" s="22"/>
      <c r="B309" s="22"/>
      <c r="C309" s="23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4"/>
      <c r="Z309" s="22"/>
      <c r="AA309" s="22"/>
      <c r="AB309" s="22"/>
      <c r="AC309" s="22"/>
      <c r="AD309" s="22"/>
      <c r="AE309" s="22"/>
      <c r="AF309" s="22"/>
      <c r="AG309" s="22"/>
      <c r="AH309" s="22"/>
      <c r="AI309" s="24"/>
      <c r="AJ309" s="22"/>
      <c r="AK309" s="22"/>
      <c r="AL309" s="22"/>
    </row>
    <row r="310" spans="1:38" ht="14.25" customHeight="1" x14ac:dyDescent="0.35">
      <c r="A310" s="22"/>
      <c r="B310" s="22"/>
      <c r="C310" s="23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4"/>
      <c r="Z310" s="22"/>
      <c r="AA310" s="22"/>
      <c r="AB310" s="22"/>
      <c r="AC310" s="22"/>
      <c r="AD310" s="22"/>
      <c r="AE310" s="22"/>
      <c r="AF310" s="22"/>
      <c r="AG310" s="22"/>
      <c r="AH310" s="22"/>
      <c r="AI310" s="24"/>
      <c r="AJ310" s="22"/>
      <c r="AK310" s="22"/>
      <c r="AL310" s="22"/>
    </row>
    <row r="311" spans="1:38" ht="14.25" customHeight="1" x14ac:dyDescent="0.35">
      <c r="A311" s="22"/>
      <c r="B311" s="22"/>
      <c r="C311" s="23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4"/>
      <c r="Z311" s="22"/>
      <c r="AA311" s="22"/>
      <c r="AB311" s="22"/>
      <c r="AC311" s="22"/>
      <c r="AD311" s="22"/>
      <c r="AE311" s="22"/>
      <c r="AF311" s="22"/>
      <c r="AG311" s="22"/>
      <c r="AH311" s="22"/>
      <c r="AI311" s="24"/>
      <c r="AJ311" s="22"/>
      <c r="AK311" s="22"/>
      <c r="AL311" s="22"/>
    </row>
    <row r="312" spans="1:38" ht="14.25" customHeight="1" x14ac:dyDescent="0.35">
      <c r="A312" s="22"/>
      <c r="B312" s="22"/>
      <c r="C312" s="23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4"/>
      <c r="Z312" s="22"/>
      <c r="AA312" s="22"/>
      <c r="AB312" s="22"/>
      <c r="AC312" s="22"/>
      <c r="AD312" s="22"/>
      <c r="AE312" s="22"/>
      <c r="AF312" s="22"/>
      <c r="AG312" s="22"/>
      <c r="AH312" s="22"/>
      <c r="AI312" s="24"/>
      <c r="AJ312" s="22"/>
      <c r="AK312" s="22"/>
      <c r="AL312" s="22"/>
    </row>
    <row r="313" spans="1:38" ht="14.25" customHeight="1" x14ac:dyDescent="0.35">
      <c r="A313" s="22"/>
      <c r="B313" s="22"/>
      <c r="C313" s="23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4"/>
      <c r="Z313" s="22"/>
      <c r="AA313" s="22"/>
      <c r="AB313" s="22"/>
      <c r="AC313" s="22"/>
      <c r="AD313" s="22"/>
      <c r="AE313" s="22"/>
      <c r="AF313" s="22"/>
      <c r="AG313" s="22"/>
      <c r="AH313" s="22"/>
      <c r="AI313" s="24"/>
      <c r="AJ313" s="22"/>
      <c r="AK313" s="22"/>
      <c r="AL313" s="22"/>
    </row>
    <row r="314" spans="1:38" ht="14.25" customHeight="1" x14ac:dyDescent="0.35">
      <c r="A314" s="22"/>
      <c r="B314" s="22"/>
      <c r="C314" s="23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4"/>
      <c r="Z314" s="22"/>
      <c r="AA314" s="22"/>
      <c r="AB314" s="22"/>
      <c r="AC314" s="22"/>
      <c r="AD314" s="22"/>
      <c r="AE314" s="22"/>
      <c r="AF314" s="22"/>
      <c r="AG314" s="22"/>
      <c r="AH314" s="22"/>
      <c r="AI314" s="24"/>
      <c r="AJ314" s="22"/>
      <c r="AK314" s="22"/>
      <c r="AL314" s="22"/>
    </row>
    <row r="315" spans="1:38" ht="14.25" customHeight="1" x14ac:dyDescent="0.35">
      <c r="A315" s="22"/>
      <c r="B315" s="22"/>
      <c r="C315" s="23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4"/>
      <c r="Z315" s="22"/>
      <c r="AA315" s="22"/>
      <c r="AB315" s="22"/>
      <c r="AC315" s="22"/>
      <c r="AD315" s="22"/>
      <c r="AE315" s="22"/>
      <c r="AF315" s="22"/>
      <c r="AG315" s="22"/>
      <c r="AH315" s="22"/>
      <c r="AI315" s="24"/>
      <c r="AJ315" s="22"/>
      <c r="AK315" s="22"/>
      <c r="AL315" s="22"/>
    </row>
    <row r="316" spans="1:38" ht="14.25" customHeight="1" x14ac:dyDescent="0.35">
      <c r="A316" s="22"/>
      <c r="B316" s="22"/>
      <c r="C316" s="23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4"/>
      <c r="Z316" s="22"/>
      <c r="AA316" s="22"/>
      <c r="AB316" s="22"/>
      <c r="AC316" s="22"/>
      <c r="AD316" s="22"/>
      <c r="AE316" s="22"/>
      <c r="AF316" s="22"/>
      <c r="AG316" s="22"/>
      <c r="AH316" s="22"/>
      <c r="AI316" s="24"/>
      <c r="AJ316" s="22"/>
      <c r="AK316" s="22"/>
      <c r="AL316" s="22"/>
    </row>
    <row r="317" spans="1:38" ht="14.25" customHeight="1" x14ac:dyDescent="0.35">
      <c r="A317" s="22"/>
      <c r="B317" s="22"/>
      <c r="C317" s="23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4"/>
      <c r="Z317" s="22"/>
      <c r="AA317" s="22"/>
      <c r="AB317" s="22"/>
      <c r="AC317" s="22"/>
      <c r="AD317" s="22"/>
      <c r="AE317" s="22"/>
      <c r="AF317" s="22"/>
      <c r="AG317" s="22"/>
      <c r="AH317" s="22"/>
      <c r="AI317" s="24"/>
      <c r="AJ317" s="22"/>
      <c r="AK317" s="22"/>
      <c r="AL317" s="22"/>
    </row>
    <row r="318" spans="1:38" ht="14.25" customHeight="1" x14ac:dyDescent="0.35">
      <c r="A318" s="22"/>
      <c r="B318" s="22"/>
      <c r="C318" s="23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4"/>
      <c r="Z318" s="22"/>
      <c r="AA318" s="22"/>
      <c r="AB318" s="22"/>
      <c r="AC318" s="22"/>
      <c r="AD318" s="22"/>
      <c r="AE318" s="22"/>
      <c r="AF318" s="22"/>
      <c r="AG318" s="22"/>
      <c r="AH318" s="22"/>
      <c r="AI318" s="24"/>
      <c r="AJ318" s="22"/>
      <c r="AK318" s="22"/>
      <c r="AL318" s="22"/>
    </row>
    <row r="319" spans="1:38" ht="14.25" customHeight="1" x14ac:dyDescent="0.35">
      <c r="A319" s="22"/>
      <c r="B319" s="22"/>
      <c r="C319" s="23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4"/>
      <c r="Z319" s="22"/>
      <c r="AA319" s="22"/>
      <c r="AB319" s="22"/>
      <c r="AC319" s="22"/>
      <c r="AD319" s="22"/>
      <c r="AE319" s="22"/>
      <c r="AF319" s="22"/>
      <c r="AG319" s="22"/>
      <c r="AH319" s="22"/>
      <c r="AI319" s="24"/>
      <c r="AJ319" s="22"/>
      <c r="AK319" s="22"/>
      <c r="AL319" s="22"/>
    </row>
    <row r="320" spans="1:38" ht="14.25" customHeight="1" x14ac:dyDescent="0.35">
      <c r="A320" s="22"/>
      <c r="B320" s="22"/>
      <c r="C320" s="23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4"/>
      <c r="Z320" s="22"/>
      <c r="AA320" s="22"/>
      <c r="AB320" s="22"/>
      <c r="AC320" s="22"/>
      <c r="AD320" s="22"/>
      <c r="AE320" s="22"/>
      <c r="AF320" s="22"/>
      <c r="AG320" s="22"/>
      <c r="AH320" s="22"/>
      <c r="AI320" s="24"/>
      <c r="AJ320" s="22"/>
      <c r="AK320" s="22"/>
      <c r="AL320" s="22"/>
    </row>
    <row r="321" spans="1:38" ht="14.25" customHeight="1" x14ac:dyDescent="0.35">
      <c r="A321" s="22"/>
      <c r="B321" s="22"/>
      <c r="C321" s="23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4"/>
      <c r="Z321" s="22"/>
      <c r="AA321" s="22"/>
      <c r="AB321" s="22"/>
      <c r="AC321" s="22"/>
      <c r="AD321" s="22"/>
      <c r="AE321" s="22"/>
      <c r="AF321" s="22"/>
      <c r="AG321" s="22"/>
      <c r="AH321" s="22"/>
      <c r="AI321" s="24"/>
      <c r="AJ321" s="22"/>
      <c r="AK321" s="22"/>
      <c r="AL321" s="22"/>
    </row>
    <row r="322" spans="1:38" ht="14.25" customHeight="1" x14ac:dyDescent="0.35">
      <c r="A322" s="22"/>
      <c r="B322" s="22"/>
      <c r="C322" s="23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4"/>
      <c r="Z322" s="22"/>
      <c r="AA322" s="22"/>
      <c r="AB322" s="22"/>
      <c r="AC322" s="22"/>
      <c r="AD322" s="22"/>
      <c r="AE322" s="22"/>
      <c r="AF322" s="22"/>
      <c r="AG322" s="22"/>
      <c r="AH322" s="22"/>
      <c r="AI322" s="24"/>
      <c r="AJ322" s="22"/>
      <c r="AK322" s="22"/>
      <c r="AL322" s="22"/>
    </row>
    <row r="323" spans="1:38" ht="14.25" customHeight="1" x14ac:dyDescent="0.35">
      <c r="A323" s="22"/>
      <c r="B323" s="22"/>
      <c r="C323" s="23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4"/>
      <c r="Z323" s="22"/>
      <c r="AA323" s="22"/>
      <c r="AB323" s="22"/>
      <c r="AC323" s="22"/>
      <c r="AD323" s="22"/>
      <c r="AE323" s="22"/>
      <c r="AF323" s="22"/>
      <c r="AG323" s="22"/>
      <c r="AH323" s="22"/>
      <c r="AI323" s="24"/>
      <c r="AJ323" s="22"/>
      <c r="AK323" s="22"/>
      <c r="AL323" s="22"/>
    </row>
    <row r="324" spans="1:38" ht="14.25" customHeight="1" x14ac:dyDescent="0.35">
      <c r="A324" s="22"/>
      <c r="B324" s="22"/>
      <c r="C324" s="23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4"/>
      <c r="Z324" s="22"/>
      <c r="AA324" s="22"/>
      <c r="AB324" s="22"/>
      <c r="AC324" s="22"/>
      <c r="AD324" s="22"/>
      <c r="AE324" s="22"/>
      <c r="AF324" s="22"/>
      <c r="AG324" s="22"/>
      <c r="AH324" s="22"/>
      <c r="AI324" s="24"/>
      <c r="AJ324" s="22"/>
      <c r="AK324" s="22"/>
      <c r="AL324" s="22"/>
    </row>
    <row r="325" spans="1:38" ht="14.25" customHeight="1" x14ac:dyDescent="0.35">
      <c r="A325" s="22"/>
      <c r="B325" s="22"/>
      <c r="C325" s="23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4"/>
      <c r="Z325" s="22"/>
      <c r="AA325" s="22"/>
      <c r="AB325" s="22"/>
      <c r="AC325" s="22"/>
      <c r="AD325" s="22"/>
      <c r="AE325" s="22"/>
      <c r="AF325" s="22"/>
      <c r="AG325" s="22"/>
      <c r="AH325" s="22"/>
      <c r="AI325" s="24"/>
      <c r="AJ325" s="22"/>
      <c r="AK325" s="22"/>
      <c r="AL325" s="22"/>
    </row>
    <row r="326" spans="1:38" ht="14.25" customHeight="1" x14ac:dyDescent="0.35">
      <c r="A326" s="22"/>
      <c r="B326" s="22"/>
      <c r="C326" s="23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4"/>
      <c r="Z326" s="22"/>
      <c r="AA326" s="22"/>
      <c r="AB326" s="22"/>
      <c r="AC326" s="22"/>
      <c r="AD326" s="22"/>
      <c r="AE326" s="22"/>
      <c r="AF326" s="22"/>
      <c r="AG326" s="22"/>
      <c r="AH326" s="22"/>
      <c r="AI326" s="24"/>
      <c r="AJ326" s="22"/>
      <c r="AK326" s="22"/>
      <c r="AL326" s="22"/>
    </row>
    <row r="327" spans="1:38" ht="14.25" customHeight="1" x14ac:dyDescent="0.35">
      <c r="A327" s="22"/>
      <c r="B327" s="22"/>
      <c r="C327" s="23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4"/>
      <c r="Z327" s="22"/>
      <c r="AA327" s="22"/>
      <c r="AB327" s="22"/>
      <c r="AC327" s="22"/>
      <c r="AD327" s="22"/>
      <c r="AE327" s="22"/>
      <c r="AF327" s="22"/>
      <c r="AG327" s="22"/>
      <c r="AH327" s="22"/>
      <c r="AI327" s="24"/>
      <c r="AJ327" s="22"/>
      <c r="AK327" s="22"/>
      <c r="AL327" s="22"/>
    </row>
    <row r="328" spans="1:38" ht="14.25" customHeight="1" x14ac:dyDescent="0.35">
      <c r="A328" s="22"/>
      <c r="B328" s="22"/>
      <c r="C328" s="23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4"/>
      <c r="Z328" s="22"/>
      <c r="AA328" s="22"/>
      <c r="AB328" s="22"/>
      <c r="AC328" s="22"/>
      <c r="AD328" s="22"/>
      <c r="AE328" s="22"/>
      <c r="AF328" s="22"/>
      <c r="AG328" s="22"/>
      <c r="AH328" s="22"/>
      <c r="AI328" s="24"/>
      <c r="AJ328" s="22"/>
      <c r="AK328" s="22"/>
      <c r="AL328" s="22"/>
    </row>
    <row r="329" spans="1:38" ht="14.25" customHeight="1" x14ac:dyDescent="0.35">
      <c r="A329" s="22"/>
      <c r="B329" s="22"/>
      <c r="C329" s="23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4"/>
      <c r="Z329" s="22"/>
      <c r="AA329" s="22"/>
      <c r="AB329" s="22"/>
      <c r="AC329" s="22"/>
      <c r="AD329" s="22"/>
      <c r="AE329" s="22"/>
      <c r="AF329" s="22"/>
      <c r="AG329" s="22"/>
      <c r="AH329" s="22"/>
      <c r="AI329" s="24"/>
      <c r="AJ329" s="22"/>
      <c r="AK329" s="22"/>
      <c r="AL329" s="22"/>
    </row>
    <row r="330" spans="1:38" ht="14.25" customHeight="1" x14ac:dyDescent="0.35">
      <c r="A330" s="22"/>
      <c r="B330" s="22"/>
      <c r="C330" s="23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4"/>
      <c r="Z330" s="22"/>
      <c r="AA330" s="22"/>
      <c r="AB330" s="22"/>
      <c r="AC330" s="22"/>
      <c r="AD330" s="22"/>
      <c r="AE330" s="22"/>
      <c r="AF330" s="22"/>
      <c r="AG330" s="22"/>
      <c r="AH330" s="22"/>
      <c r="AI330" s="24"/>
      <c r="AJ330" s="22"/>
      <c r="AK330" s="22"/>
      <c r="AL330" s="22"/>
    </row>
    <row r="331" spans="1:38" ht="14.25" customHeight="1" x14ac:dyDescent="0.35">
      <c r="A331" s="22"/>
      <c r="B331" s="22"/>
      <c r="C331" s="23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4"/>
      <c r="Z331" s="22"/>
      <c r="AA331" s="22"/>
      <c r="AB331" s="22"/>
      <c r="AC331" s="22"/>
      <c r="AD331" s="22"/>
      <c r="AE331" s="22"/>
      <c r="AF331" s="22"/>
      <c r="AG331" s="22"/>
      <c r="AH331" s="22"/>
      <c r="AI331" s="24"/>
      <c r="AJ331" s="22"/>
      <c r="AK331" s="22"/>
      <c r="AL331" s="22"/>
    </row>
    <row r="332" spans="1:38" ht="14.25" customHeight="1" x14ac:dyDescent="0.35">
      <c r="A332" s="22"/>
      <c r="B332" s="22"/>
      <c r="C332" s="23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4"/>
      <c r="Z332" s="22"/>
      <c r="AA332" s="22"/>
      <c r="AB332" s="22"/>
      <c r="AC332" s="22"/>
      <c r="AD332" s="22"/>
      <c r="AE332" s="22"/>
      <c r="AF332" s="22"/>
      <c r="AG332" s="22"/>
      <c r="AH332" s="22"/>
      <c r="AI332" s="24"/>
      <c r="AJ332" s="22"/>
      <c r="AK332" s="22"/>
      <c r="AL332" s="22"/>
    </row>
    <row r="333" spans="1:38" ht="14.25" customHeight="1" x14ac:dyDescent="0.35">
      <c r="A333" s="22"/>
      <c r="B333" s="22"/>
      <c r="C333" s="23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4"/>
      <c r="Z333" s="22"/>
      <c r="AA333" s="22"/>
      <c r="AB333" s="22"/>
      <c r="AC333" s="22"/>
      <c r="AD333" s="22"/>
      <c r="AE333" s="22"/>
      <c r="AF333" s="22"/>
      <c r="AG333" s="22"/>
      <c r="AH333" s="22"/>
      <c r="AI333" s="24"/>
      <c r="AJ333" s="22"/>
      <c r="AK333" s="22"/>
      <c r="AL333" s="22"/>
    </row>
    <row r="334" spans="1:38" ht="14.25" customHeight="1" x14ac:dyDescent="0.35">
      <c r="A334" s="22"/>
      <c r="B334" s="22"/>
      <c r="C334" s="23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4"/>
      <c r="Z334" s="22"/>
      <c r="AA334" s="22"/>
      <c r="AB334" s="22"/>
      <c r="AC334" s="22"/>
      <c r="AD334" s="22"/>
      <c r="AE334" s="22"/>
      <c r="AF334" s="22"/>
      <c r="AG334" s="22"/>
      <c r="AH334" s="22"/>
      <c r="AI334" s="24"/>
      <c r="AJ334" s="22"/>
      <c r="AK334" s="22"/>
      <c r="AL334" s="22"/>
    </row>
    <row r="335" spans="1:38" ht="14.25" customHeight="1" x14ac:dyDescent="0.35">
      <c r="A335" s="22"/>
      <c r="B335" s="22"/>
      <c r="C335" s="23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4"/>
      <c r="Z335" s="22"/>
      <c r="AA335" s="22"/>
      <c r="AB335" s="22"/>
      <c r="AC335" s="22"/>
      <c r="AD335" s="22"/>
      <c r="AE335" s="22"/>
      <c r="AF335" s="22"/>
      <c r="AG335" s="22"/>
      <c r="AH335" s="22"/>
      <c r="AI335" s="24"/>
      <c r="AJ335" s="22"/>
      <c r="AK335" s="22"/>
      <c r="AL335" s="22"/>
    </row>
    <row r="336" spans="1:38" ht="14.25" customHeight="1" x14ac:dyDescent="0.35">
      <c r="A336" s="22"/>
      <c r="B336" s="22"/>
      <c r="C336" s="23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4"/>
      <c r="Z336" s="22"/>
      <c r="AA336" s="22"/>
      <c r="AB336" s="22"/>
      <c r="AC336" s="22"/>
      <c r="AD336" s="22"/>
      <c r="AE336" s="22"/>
      <c r="AF336" s="22"/>
      <c r="AG336" s="22"/>
      <c r="AH336" s="22"/>
      <c r="AI336" s="24"/>
      <c r="AJ336" s="22"/>
      <c r="AK336" s="22"/>
      <c r="AL336" s="22"/>
    </row>
    <row r="337" spans="1:38" ht="14.25" customHeight="1" x14ac:dyDescent="0.35">
      <c r="A337" s="22"/>
      <c r="B337" s="22"/>
      <c r="C337" s="23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4"/>
      <c r="Z337" s="22"/>
      <c r="AA337" s="22"/>
      <c r="AB337" s="22"/>
      <c r="AC337" s="22"/>
      <c r="AD337" s="22"/>
      <c r="AE337" s="22"/>
      <c r="AF337" s="22"/>
      <c r="AG337" s="22"/>
      <c r="AH337" s="22"/>
      <c r="AI337" s="24"/>
      <c r="AJ337" s="22"/>
      <c r="AK337" s="22"/>
      <c r="AL337" s="22"/>
    </row>
    <row r="338" spans="1:38" ht="14.25" customHeight="1" x14ac:dyDescent="0.35">
      <c r="A338" s="22"/>
      <c r="B338" s="22"/>
      <c r="C338" s="23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4"/>
      <c r="Z338" s="22"/>
      <c r="AA338" s="22"/>
      <c r="AB338" s="22"/>
      <c r="AC338" s="22"/>
      <c r="AD338" s="22"/>
      <c r="AE338" s="22"/>
      <c r="AF338" s="22"/>
      <c r="AG338" s="22"/>
      <c r="AH338" s="22"/>
      <c r="AI338" s="24"/>
      <c r="AJ338" s="22"/>
      <c r="AK338" s="22"/>
      <c r="AL338" s="22"/>
    </row>
    <row r="339" spans="1:38" ht="14.25" customHeight="1" x14ac:dyDescent="0.35">
      <c r="A339" s="22"/>
      <c r="B339" s="22"/>
      <c r="C339" s="23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4"/>
      <c r="Z339" s="22"/>
      <c r="AA339" s="22"/>
      <c r="AB339" s="22"/>
      <c r="AC339" s="22"/>
      <c r="AD339" s="22"/>
      <c r="AE339" s="22"/>
      <c r="AF339" s="22"/>
      <c r="AG339" s="22"/>
      <c r="AH339" s="22"/>
      <c r="AI339" s="24"/>
      <c r="AJ339" s="22"/>
      <c r="AK339" s="22"/>
      <c r="AL339" s="22"/>
    </row>
    <row r="340" spans="1:38" ht="14.25" customHeight="1" x14ac:dyDescent="0.35">
      <c r="A340" s="22"/>
      <c r="B340" s="22"/>
      <c r="C340" s="23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4"/>
      <c r="Z340" s="22"/>
      <c r="AA340" s="22"/>
      <c r="AB340" s="22"/>
      <c r="AC340" s="22"/>
      <c r="AD340" s="22"/>
      <c r="AE340" s="22"/>
      <c r="AF340" s="22"/>
      <c r="AG340" s="22"/>
      <c r="AH340" s="22"/>
      <c r="AI340" s="24"/>
      <c r="AJ340" s="22"/>
      <c r="AK340" s="22"/>
      <c r="AL340" s="22"/>
    </row>
    <row r="341" spans="1:38" ht="14.25" customHeight="1" x14ac:dyDescent="0.35">
      <c r="A341" s="22"/>
      <c r="B341" s="22"/>
      <c r="C341" s="23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4"/>
      <c r="Z341" s="22"/>
      <c r="AA341" s="22"/>
      <c r="AB341" s="22"/>
      <c r="AC341" s="22"/>
      <c r="AD341" s="22"/>
      <c r="AE341" s="22"/>
      <c r="AF341" s="22"/>
      <c r="AG341" s="22"/>
      <c r="AH341" s="22"/>
      <c r="AI341" s="24"/>
      <c r="AJ341" s="22"/>
      <c r="AK341" s="22"/>
      <c r="AL341" s="22"/>
    </row>
    <row r="342" spans="1:38" ht="14.25" customHeight="1" x14ac:dyDescent="0.35">
      <c r="A342" s="22"/>
      <c r="B342" s="22"/>
      <c r="C342" s="23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4"/>
      <c r="Z342" s="22"/>
      <c r="AA342" s="22"/>
      <c r="AB342" s="22"/>
      <c r="AC342" s="22"/>
      <c r="AD342" s="22"/>
      <c r="AE342" s="22"/>
      <c r="AF342" s="22"/>
      <c r="AG342" s="22"/>
      <c r="AH342" s="22"/>
      <c r="AI342" s="24"/>
      <c r="AJ342" s="22"/>
      <c r="AK342" s="22"/>
      <c r="AL342" s="22"/>
    </row>
    <row r="343" spans="1:38" ht="14.25" customHeight="1" x14ac:dyDescent="0.35">
      <c r="A343" s="22"/>
      <c r="B343" s="22"/>
      <c r="C343" s="23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4"/>
      <c r="Z343" s="22"/>
      <c r="AA343" s="22"/>
      <c r="AB343" s="22"/>
      <c r="AC343" s="22"/>
      <c r="AD343" s="22"/>
      <c r="AE343" s="22"/>
      <c r="AF343" s="22"/>
      <c r="AG343" s="22"/>
      <c r="AH343" s="22"/>
      <c r="AI343" s="24"/>
      <c r="AJ343" s="22"/>
      <c r="AK343" s="22"/>
      <c r="AL343" s="22"/>
    </row>
    <row r="344" spans="1:38" ht="14.25" customHeight="1" x14ac:dyDescent="0.35">
      <c r="A344" s="22"/>
      <c r="B344" s="22"/>
      <c r="C344" s="23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4"/>
      <c r="Z344" s="22"/>
      <c r="AA344" s="22"/>
      <c r="AB344" s="22"/>
      <c r="AC344" s="22"/>
      <c r="AD344" s="22"/>
      <c r="AE344" s="22"/>
      <c r="AF344" s="22"/>
      <c r="AG344" s="22"/>
      <c r="AH344" s="22"/>
      <c r="AI344" s="24"/>
      <c r="AJ344" s="22"/>
      <c r="AK344" s="22"/>
      <c r="AL344" s="22"/>
    </row>
    <row r="345" spans="1:38" ht="14.25" customHeight="1" x14ac:dyDescent="0.35">
      <c r="A345" s="22"/>
      <c r="B345" s="22"/>
      <c r="C345" s="23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4"/>
      <c r="Z345" s="22"/>
      <c r="AA345" s="22"/>
      <c r="AB345" s="22"/>
      <c r="AC345" s="22"/>
      <c r="AD345" s="22"/>
      <c r="AE345" s="22"/>
      <c r="AF345" s="22"/>
      <c r="AG345" s="22"/>
      <c r="AH345" s="22"/>
      <c r="AI345" s="24"/>
      <c r="AJ345" s="22"/>
      <c r="AK345" s="22"/>
      <c r="AL345" s="22"/>
    </row>
    <row r="346" spans="1:38" ht="14.25" customHeight="1" x14ac:dyDescent="0.35">
      <c r="A346" s="22"/>
      <c r="B346" s="22"/>
      <c r="C346" s="23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4"/>
      <c r="Z346" s="22"/>
      <c r="AA346" s="22"/>
      <c r="AB346" s="22"/>
      <c r="AC346" s="22"/>
      <c r="AD346" s="22"/>
      <c r="AE346" s="22"/>
      <c r="AF346" s="22"/>
      <c r="AG346" s="22"/>
      <c r="AH346" s="22"/>
      <c r="AI346" s="24"/>
      <c r="AJ346" s="22"/>
      <c r="AK346" s="22"/>
      <c r="AL346" s="22"/>
    </row>
    <row r="347" spans="1:38" ht="14.25" customHeight="1" x14ac:dyDescent="0.35">
      <c r="A347" s="22"/>
      <c r="B347" s="22"/>
      <c r="C347" s="23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4"/>
      <c r="Z347" s="22"/>
      <c r="AA347" s="22"/>
      <c r="AB347" s="22"/>
      <c r="AC347" s="22"/>
      <c r="AD347" s="22"/>
      <c r="AE347" s="22"/>
      <c r="AF347" s="22"/>
      <c r="AG347" s="22"/>
      <c r="AH347" s="22"/>
      <c r="AI347" s="24"/>
      <c r="AJ347" s="22"/>
      <c r="AK347" s="22"/>
      <c r="AL347" s="22"/>
    </row>
    <row r="348" spans="1:38" ht="14.25" customHeight="1" x14ac:dyDescent="0.35">
      <c r="A348" s="22"/>
      <c r="B348" s="22"/>
      <c r="C348" s="23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4"/>
      <c r="Z348" s="22"/>
      <c r="AA348" s="22"/>
      <c r="AB348" s="22"/>
      <c r="AC348" s="22"/>
      <c r="AD348" s="22"/>
      <c r="AE348" s="22"/>
      <c r="AF348" s="22"/>
      <c r="AG348" s="22"/>
      <c r="AH348" s="22"/>
      <c r="AI348" s="24"/>
      <c r="AJ348" s="22"/>
      <c r="AK348" s="22"/>
      <c r="AL348" s="22"/>
    </row>
    <row r="349" spans="1:38" ht="14.25" customHeight="1" x14ac:dyDescent="0.35">
      <c r="A349" s="22"/>
      <c r="B349" s="22"/>
      <c r="C349" s="23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4"/>
      <c r="Z349" s="22"/>
      <c r="AA349" s="22"/>
      <c r="AB349" s="22"/>
      <c r="AC349" s="22"/>
      <c r="AD349" s="22"/>
      <c r="AE349" s="22"/>
      <c r="AF349" s="22"/>
      <c r="AG349" s="22"/>
      <c r="AH349" s="22"/>
      <c r="AI349" s="24"/>
      <c r="AJ349" s="22"/>
      <c r="AK349" s="22"/>
      <c r="AL349" s="22"/>
    </row>
    <row r="350" spans="1:38" ht="14.25" customHeight="1" x14ac:dyDescent="0.35">
      <c r="A350" s="22"/>
      <c r="B350" s="22"/>
      <c r="C350" s="23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4"/>
      <c r="Z350" s="22"/>
      <c r="AA350" s="22"/>
      <c r="AB350" s="22"/>
      <c r="AC350" s="22"/>
      <c r="AD350" s="22"/>
      <c r="AE350" s="22"/>
      <c r="AF350" s="22"/>
      <c r="AG350" s="22"/>
      <c r="AH350" s="22"/>
      <c r="AI350" s="24"/>
      <c r="AJ350" s="22"/>
      <c r="AK350" s="22"/>
      <c r="AL350" s="22"/>
    </row>
    <row r="351" spans="1:38" ht="14.25" customHeight="1" x14ac:dyDescent="0.35">
      <c r="A351" s="22"/>
      <c r="B351" s="22"/>
      <c r="C351" s="23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4"/>
      <c r="Z351" s="22"/>
      <c r="AA351" s="22"/>
      <c r="AB351" s="22"/>
      <c r="AC351" s="22"/>
      <c r="AD351" s="22"/>
      <c r="AE351" s="22"/>
      <c r="AF351" s="22"/>
      <c r="AG351" s="22"/>
      <c r="AH351" s="22"/>
      <c r="AI351" s="24"/>
      <c r="AJ351" s="22"/>
      <c r="AK351" s="22"/>
      <c r="AL351" s="22"/>
    </row>
    <row r="352" spans="1:38" ht="14.25" customHeight="1" x14ac:dyDescent="0.35">
      <c r="A352" s="22"/>
      <c r="B352" s="22"/>
      <c r="C352" s="23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4"/>
      <c r="Z352" s="22"/>
      <c r="AA352" s="22"/>
      <c r="AB352" s="22"/>
      <c r="AC352" s="22"/>
      <c r="AD352" s="22"/>
      <c r="AE352" s="22"/>
      <c r="AF352" s="22"/>
      <c r="AG352" s="22"/>
      <c r="AH352" s="22"/>
      <c r="AI352" s="24"/>
      <c r="AJ352" s="22"/>
      <c r="AK352" s="22"/>
      <c r="AL352" s="22"/>
    </row>
    <row r="353" spans="1:38" ht="14.25" customHeight="1" x14ac:dyDescent="0.35">
      <c r="A353" s="22"/>
      <c r="B353" s="22"/>
      <c r="C353" s="23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4"/>
      <c r="Z353" s="22"/>
      <c r="AA353" s="22"/>
      <c r="AB353" s="22"/>
      <c r="AC353" s="22"/>
      <c r="AD353" s="22"/>
      <c r="AE353" s="22"/>
      <c r="AF353" s="22"/>
      <c r="AG353" s="22"/>
      <c r="AH353" s="22"/>
      <c r="AI353" s="24"/>
      <c r="AJ353" s="22"/>
      <c r="AK353" s="22"/>
      <c r="AL353" s="22"/>
    </row>
    <row r="354" spans="1:38" ht="14.25" customHeight="1" x14ac:dyDescent="0.35">
      <c r="A354" s="22"/>
      <c r="B354" s="22"/>
      <c r="C354" s="23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4"/>
      <c r="Z354" s="22"/>
      <c r="AA354" s="22"/>
      <c r="AB354" s="22"/>
      <c r="AC354" s="22"/>
      <c r="AD354" s="22"/>
      <c r="AE354" s="22"/>
      <c r="AF354" s="22"/>
      <c r="AG354" s="22"/>
      <c r="AH354" s="22"/>
      <c r="AI354" s="24"/>
      <c r="AJ354" s="22"/>
      <c r="AK354" s="22"/>
      <c r="AL354" s="22"/>
    </row>
    <row r="355" spans="1:38" ht="14.25" customHeight="1" x14ac:dyDescent="0.35">
      <c r="A355" s="22"/>
      <c r="B355" s="22"/>
      <c r="C355" s="23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4"/>
      <c r="Z355" s="22"/>
      <c r="AA355" s="22"/>
      <c r="AB355" s="22"/>
      <c r="AC355" s="22"/>
      <c r="AD355" s="22"/>
      <c r="AE355" s="22"/>
      <c r="AF355" s="22"/>
      <c r="AG355" s="22"/>
      <c r="AH355" s="22"/>
      <c r="AI355" s="24"/>
      <c r="AJ355" s="22"/>
      <c r="AK355" s="22"/>
      <c r="AL355" s="22"/>
    </row>
    <row r="356" spans="1:38" ht="14.25" customHeight="1" x14ac:dyDescent="0.35">
      <c r="A356" s="22"/>
      <c r="B356" s="22"/>
      <c r="C356" s="23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4"/>
      <c r="Z356" s="22"/>
      <c r="AA356" s="22"/>
      <c r="AB356" s="22"/>
      <c r="AC356" s="22"/>
      <c r="AD356" s="22"/>
      <c r="AE356" s="22"/>
      <c r="AF356" s="22"/>
      <c r="AG356" s="22"/>
      <c r="AH356" s="22"/>
      <c r="AI356" s="24"/>
      <c r="AJ356" s="22"/>
      <c r="AK356" s="22"/>
      <c r="AL356" s="22"/>
    </row>
    <row r="357" spans="1:38" ht="14.25" customHeight="1" x14ac:dyDescent="0.35">
      <c r="A357" s="22"/>
      <c r="B357" s="22"/>
      <c r="C357" s="23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4"/>
      <c r="Z357" s="22"/>
      <c r="AA357" s="22"/>
      <c r="AB357" s="22"/>
      <c r="AC357" s="22"/>
      <c r="AD357" s="22"/>
      <c r="AE357" s="22"/>
      <c r="AF357" s="22"/>
      <c r="AG357" s="22"/>
      <c r="AH357" s="22"/>
      <c r="AI357" s="24"/>
      <c r="AJ357" s="22"/>
      <c r="AK357" s="22"/>
      <c r="AL357" s="22"/>
    </row>
    <row r="358" spans="1:38" ht="14.25" customHeight="1" x14ac:dyDescent="0.35">
      <c r="A358" s="22"/>
      <c r="B358" s="22"/>
      <c r="C358" s="23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4"/>
      <c r="Z358" s="22"/>
      <c r="AA358" s="22"/>
      <c r="AB358" s="22"/>
      <c r="AC358" s="22"/>
      <c r="AD358" s="22"/>
      <c r="AE358" s="22"/>
      <c r="AF358" s="22"/>
      <c r="AG358" s="22"/>
      <c r="AH358" s="22"/>
      <c r="AI358" s="24"/>
      <c r="AJ358" s="22"/>
      <c r="AK358" s="22"/>
      <c r="AL358" s="22"/>
    </row>
    <row r="359" spans="1:38" ht="14.25" customHeight="1" x14ac:dyDescent="0.35">
      <c r="A359" s="22"/>
      <c r="B359" s="22"/>
      <c r="C359" s="23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4"/>
      <c r="Z359" s="22"/>
      <c r="AA359" s="22"/>
      <c r="AB359" s="22"/>
      <c r="AC359" s="22"/>
      <c r="AD359" s="22"/>
      <c r="AE359" s="22"/>
      <c r="AF359" s="22"/>
      <c r="AG359" s="22"/>
      <c r="AH359" s="22"/>
      <c r="AI359" s="24"/>
      <c r="AJ359" s="22"/>
      <c r="AK359" s="22"/>
      <c r="AL359" s="22"/>
    </row>
    <row r="360" spans="1:38" ht="14.25" customHeight="1" x14ac:dyDescent="0.35">
      <c r="A360" s="22"/>
      <c r="B360" s="22"/>
      <c r="C360" s="23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4"/>
      <c r="Z360" s="22"/>
      <c r="AA360" s="22"/>
      <c r="AB360" s="22"/>
      <c r="AC360" s="22"/>
      <c r="AD360" s="22"/>
      <c r="AE360" s="22"/>
      <c r="AF360" s="22"/>
      <c r="AG360" s="22"/>
      <c r="AH360" s="22"/>
      <c r="AI360" s="24"/>
      <c r="AJ360" s="22"/>
      <c r="AK360" s="22"/>
      <c r="AL360" s="22"/>
    </row>
    <row r="361" spans="1:38" ht="14.25" customHeight="1" x14ac:dyDescent="0.35">
      <c r="A361" s="22"/>
      <c r="B361" s="22"/>
      <c r="C361" s="23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4"/>
      <c r="Z361" s="22"/>
      <c r="AA361" s="22"/>
      <c r="AB361" s="22"/>
      <c r="AC361" s="22"/>
      <c r="AD361" s="22"/>
      <c r="AE361" s="22"/>
      <c r="AF361" s="22"/>
      <c r="AG361" s="22"/>
      <c r="AH361" s="22"/>
      <c r="AI361" s="24"/>
      <c r="AJ361" s="22"/>
      <c r="AK361" s="22"/>
      <c r="AL361" s="22"/>
    </row>
    <row r="362" spans="1:38" ht="14.25" customHeight="1" x14ac:dyDescent="0.35">
      <c r="A362" s="22"/>
      <c r="B362" s="22"/>
      <c r="C362" s="23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4"/>
      <c r="Z362" s="22"/>
      <c r="AA362" s="22"/>
      <c r="AB362" s="22"/>
      <c r="AC362" s="22"/>
      <c r="AD362" s="22"/>
      <c r="AE362" s="22"/>
      <c r="AF362" s="22"/>
      <c r="AG362" s="22"/>
      <c r="AH362" s="22"/>
      <c r="AI362" s="24"/>
      <c r="AJ362" s="22"/>
      <c r="AK362" s="22"/>
      <c r="AL362" s="22"/>
    </row>
    <row r="363" spans="1:38" ht="14.25" customHeight="1" x14ac:dyDescent="0.35">
      <c r="A363" s="22"/>
      <c r="B363" s="22"/>
      <c r="C363" s="23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4"/>
      <c r="Z363" s="22"/>
      <c r="AA363" s="22"/>
      <c r="AB363" s="22"/>
      <c r="AC363" s="22"/>
      <c r="AD363" s="22"/>
      <c r="AE363" s="22"/>
      <c r="AF363" s="22"/>
      <c r="AG363" s="22"/>
      <c r="AH363" s="22"/>
      <c r="AI363" s="24"/>
      <c r="AJ363" s="22"/>
      <c r="AK363" s="22"/>
      <c r="AL363" s="22"/>
    </row>
    <row r="364" spans="1:38" ht="14.25" customHeight="1" x14ac:dyDescent="0.35">
      <c r="A364" s="22"/>
      <c r="B364" s="22"/>
      <c r="C364" s="23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4"/>
      <c r="Z364" s="22"/>
      <c r="AA364" s="22"/>
      <c r="AB364" s="22"/>
      <c r="AC364" s="22"/>
      <c r="AD364" s="22"/>
      <c r="AE364" s="22"/>
      <c r="AF364" s="22"/>
      <c r="AG364" s="22"/>
      <c r="AH364" s="22"/>
      <c r="AI364" s="24"/>
      <c r="AJ364" s="22"/>
      <c r="AK364" s="22"/>
      <c r="AL364" s="22"/>
    </row>
    <row r="365" spans="1:38" ht="14.25" customHeight="1" x14ac:dyDescent="0.35">
      <c r="A365" s="22"/>
      <c r="B365" s="22"/>
      <c r="C365" s="23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4"/>
      <c r="Z365" s="22"/>
      <c r="AA365" s="22"/>
      <c r="AB365" s="22"/>
      <c r="AC365" s="22"/>
      <c r="AD365" s="22"/>
      <c r="AE365" s="22"/>
      <c r="AF365" s="22"/>
      <c r="AG365" s="22"/>
      <c r="AH365" s="22"/>
      <c r="AI365" s="24"/>
      <c r="AJ365" s="22"/>
      <c r="AK365" s="22"/>
      <c r="AL365" s="22"/>
    </row>
    <row r="366" spans="1:38" ht="14.25" customHeight="1" x14ac:dyDescent="0.35">
      <c r="A366" s="22"/>
      <c r="B366" s="22"/>
      <c r="C366" s="23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4"/>
      <c r="Z366" s="22"/>
      <c r="AA366" s="22"/>
      <c r="AB366" s="22"/>
      <c r="AC366" s="22"/>
      <c r="AD366" s="22"/>
      <c r="AE366" s="22"/>
      <c r="AF366" s="22"/>
      <c r="AG366" s="22"/>
      <c r="AH366" s="22"/>
      <c r="AI366" s="24"/>
      <c r="AJ366" s="22"/>
      <c r="AK366" s="22"/>
      <c r="AL366" s="22"/>
    </row>
    <row r="367" spans="1:38" ht="14.25" customHeight="1" x14ac:dyDescent="0.35">
      <c r="A367" s="22"/>
      <c r="B367" s="22"/>
      <c r="C367" s="23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4"/>
      <c r="Z367" s="22"/>
      <c r="AA367" s="22"/>
      <c r="AB367" s="22"/>
      <c r="AC367" s="22"/>
      <c r="AD367" s="22"/>
      <c r="AE367" s="22"/>
      <c r="AF367" s="22"/>
      <c r="AG367" s="22"/>
      <c r="AH367" s="22"/>
      <c r="AI367" s="24"/>
      <c r="AJ367" s="22"/>
      <c r="AK367" s="22"/>
      <c r="AL367" s="22"/>
    </row>
    <row r="368" spans="1:38" ht="14.25" customHeight="1" x14ac:dyDescent="0.35">
      <c r="A368" s="22"/>
      <c r="B368" s="22"/>
      <c r="C368" s="23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4"/>
      <c r="Z368" s="22"/>
      <c r="AA368" s="22"/>
      <c r="AB368" s="22"/>
      <c r="AC368" s="22"/>
      <c r="AD368" s="22"/>
      <c r="AE368" s="22"/>
      <c r="AF368" s="22"/>
      <c r="AG368" s="22"/>
      <c r="AH368" s="22"/>
      <c r="AI368" s="24"/>
      <c r="AJ368" s="22"/>
      <c r="AK368" s="22"/>
      <c r="AL368" s="22"/>
    </row>
    <row r="369" spans="1:38" ht="14.25" customHeight="1" x14ac:dyDescent="0.35">
      <c r="A369" s="22"/>
      <c r="B369" s="22"/>
      <c r="C369" s="23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4"/>
      <c r="Z369" s="22"/>
      <c r="AA369" s="22"/>
      <c r="AB369" s="22"/>
      <c r="AC369" s="22"/>
      <c r="AD369" s="22"/>
      <c r="AE369" s="22"/>
      <c r="AF369" s="22"/>
      <c r="AG369" s="22"/>
      <c r="AH369" s="22"/>
      <c r="AI369" s="24"/>
      <c r="AJ369" s="22"/>
      <c r="AK369" s="22"/>
      <c r="AL369" s="22"/>
    </row>
    <row r="370" spans="1:38" ht="14.25" customHeight="1" x14ac:dyDescent="0.35">
      <c r="A370" s="22"/>
      <c r="B370" s="22"/>
      <c r="C370" s="23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4"/>
      <c r="Z370" s="22"/>
      <c r="AA370" s="22"/>
      <c r="AB370" s="22"/>
      <c r="AC370" s="22"/>
      <c r="AD370" s="22"/>
      <c r="AE370" s="22"/>
      <c r="AF370" s="22"/>
      <c r="AG370" s="22"/>
      <c r="AH370" s="22"/>
      <c r="AI370" s="24"/>
      <c r="AJ370" s="22"/>
      <c r="AK370" s="22"/>
      <c r="AL370" s="22"/>
    </row>
    <row r="371" spans="1:38" ht="14.25" customHeight="1" x14ac:dyDescent="0.35">
      <c r="A371" s="22"/>
      <c r="B371" s="22"/>
      <c r="C371" s="23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4"/>
      <c r="Z371" s="22"/>
      <c r="AA371" s="22"/>
      <c r="AB371" s="22"/>
      <c r="AC371" s="22"/>
      <c r="AD371" s="22"/>
      <c r="AE371" s="22"/>
      <c r="AF371" s="22"/>
      <c r="AG371" s="22"/>
      <c r="AH371" s="22"/>
      <c r="AI371" s="24"/>
      <c r="AJ371" s="22"/>
      <c r="AK371" s="22"/>
      <c r="AL371" s="22"/>
    </row>
    <row r="372" spans="1:38" ht="14.25" customHeight="1" x14ac:dyDescent="0.35">
      <c r="A372" s="22"/>
      <c r="B372" s="22"/>
      <c r="C372" s="23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4"/>
      <c r="Z372" s="22"/>
      <c r="AA372" s="22"/>
      <c r="AB372" s="22"/>
      <c r="AC372" s="22"/>
      <c r="AD372" s="22"/>
      <c r="AE372" s="22"/>
      <c r="AF372" s="22"/>
      <c r="AG372" s="22"/>
      <c r="AH372" s="22"/>
      <c r="AI372" s="24"/>
      <c r="AJ372" s="22"/>
      <c r="AK372" s="22"/>
      <c r="AL372" s="22"/>
    </row>
    <row r="373" spans="1:38" ht="14.25" customHeight="1" x14ac:dyDescent="0.35">
      <c r="A373" s="22"/>
      <c r="B373" s="22"/>
      <c r="C373" s="23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4"/>
      <c r="Z373" s="22"/>
      <c r="AA373" s="22"/>
      <c r="AB373" s="22"/>
      <c r="AC373" s="22"/>
      <c r="AD373" s="22"/>
      <c r="AE373" s="22"/>
      <c r="AF373" s="22"/>
      <c r="AG373" s="22"/>
      <c r="AH373" s="22"/>
      <c r="AI373" s="24"/>
      <c r="AJ373" s="22"/>
      <c r="AK373" s="22"/>
      <c r="AL373" s="22"/>
    </row>
    <row r="374" spans="1:38" ht="14.25" customHeight="1" x14ac:dyDescent="0.35">
      <c r="A374" s="22"/>
      <c r="B374" s="22"/>
      <c r="C374" s="23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4"/>
      <c r="Z374" s="22"/>
      <c r="AA374" s="22"/>
      <c r="AB374" s="22"/>
      <c r="AC374" s="22"/>
      <c r="AD374" s="22"/>
      <c r="AE374" s="22"/>
      <c r="AF374" s="22"/>
      <c r="AG374" s="22"/>
      <c r="AH374" s="22"/>
      <c r="AI374" s="24"/>
      <c r="AJ374" s="22"/>
      <c r="AK374" s="22"/>
      <c r="AL374" s="22"/>
    </row>
    <row r="375" spans="1:38" ht="14.25" customHeight="1" x14ac:dyDescent="0.35">
      <c r="A375" s="22"/>
      <c r="B375" s="22"/>
      <c r="C375" s="23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4"/>
      <c r="Z375" s="22"/>
      <c r="AA375" s="22"/>
      <c r="AB375" s="22"/>
      <c r="AC375" s="22"/>
      <c r="AD375" s="22"/>
      <c r="AE375" s="22"/>
      <c r="AF375" s="22"/>
      <c r="AG375" s="22"/>
      <c r="AH375" s="22"/>
      <c r="AI375" s="24"/>
      <c r="AJ375" s="22"/>
      <c r="AK375" s="22"/>
      <c r="AL375" s="22"/>
    </row>
    <row r="376" spans="1:38" ht="14.25" customHeight="1" x14ac:dyDescent="0.35">
      <c r="A376" s="22"/>
      <c r="B376" s="22"/>
      <c r="C376" s="23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4"/>
      <c r="Z376" s="22"/>
      <c r="AA376" s="22"/>
      <c r="AB376" s="22"/>
      <c r="AC376" s="22"/>
      <c r="AD376" s="22"/>
      <c r="AE376" s="22"/>
      <c r="AF376" s="22"/>
      <c r="AG376" s="22"/>
      <c r="AH376" s="22"/>
      <c r="AI376" s="24"/>
      <c r="AJ376" s="22"/>
      <c r="AK376" s="22"/>
      <c r="AL376" s="22"/>
    </row>
    <row r="377" spans="1:38" ht="14.25" customHeight="1" x14ac:dyDescent="0.35">
      <c r="A377" s="22"/>
      <c r="B377" s="22"/>
      <c r="C377" s="23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4"/>
      <c r="Z377" s="22"/>
      <c r="AA377" s="22"/>
      <c r="AB377" s="22"/>
      <c r="AC377" s="22"/>
      <c r="AD377" s="22"/>
      <c r="AE377" s="22"/>
      <c r="AF377" s="22"/>
      <c r="AG377" s="22"/>
      <c r="AH377" s="22"/>
      <c r="AI377" s="24"/>
      <c r="AJ377" s="22"/>
      <c r="AK377" s="22"/>
      <c r="AL377" s="22"/>
    </row>
    <row r="378" spans="1:38" ht="14.25" customHeight="1" x14ac:dyDescent="0.35">
      <c r="A378" s="22"/>
      <c r="B378" s="22"/>
      <c r="C378" s="23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4"/>
      <c r="Z378" s="22"/>
      <c r="AA378" s="22"/>
      <c r="AB378" s="22"/>
      <c r="AC378" s="22"/>
      <c r="AD378" s="22"/>
      <c r="AE378" s="22"/>
      <c r="AF378" s="22"/>
      <c r="AG378" s="22"/>
      <c r="AH378" s="22"/>
      <c r="AI378" s="24"/>
      <c r="AJ378" s="22"/>
      <c r="AK378" s="22"/>
      <c r="AL378" s="22"/>
    </row>
    <row r="379" spans="1:38" ht="14.25" customHeight="1" x14ac:dyDescent="0.35">
      <c r="A379" s="22"/>
      <c r="B379" s="22"/>
      <c r="C379" s="23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4"/>
      <c r="Z379" s="22"/>
      <c r="AA379" s="22"/>
      <c r="AB379" s="22"/>
      <c r="AC379" s="22"/>
      <c r="AD379" s="22"/>
      <c r="AE379" s="22"/>
      <c r="AF379" s="22"/>
      <c r="AG379" s="22"/>
      <c r="AH379" s="22"/>
      <c r="AI379" s="24"/>
      <c r="AJ379" s="22"/>
      <c r="AK379" s="22"/>
      <c r="AL379" s="22"/>
    </row>
    <row r="380" spans="1:38" ht="14.25" customHeight="1" x14ac:dyDescent="0.35">
      <c r="A380" s="22"/>
      <c r="B380" s="22"/>
      <c r="C380" s="23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4"/>
      <c r="Z380" s="22"/>
      <c r="AA380" s="22"/>
      <c r="AB380" s="22"/>
      <c r="AC380" s="22"/>
      <c r="AD380" s="22"/>
      <c r="AE380" s="22"/>
      <c r="AF380" s="22"/>
      <c r="AG380" s="22"/>
      <c r="AH380" s="22"/>
      <c r="AI380" s="24"/>
      <c r="AJ380" s="22"/>
      <c r="AK380" s="22"/>
      <c r="AL380" s="22"/>
    </row>
    <row r="381" spans="1:38" ht="14.25" customHeight="1" x14ac:dyDescent="0.35">
      <c r="A381" s="22"/>
      <c r="B381" s="22"/>
      <c r="C381" s="23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4"/>
      <c r="Z381" s="22"/>
      <c r="AA381" s="22"/>
      <c r="AB381" s="22"/>
      <c r="AC381" s="22"/>
      <c r="AD381" s="22"/>
      <c r="AE381" s="22"/>
      <c r="AF381" s="22"/>
      <c r="AG381" s="22"/>
      <c r="AH381" s="22"/>
      <c r="AI381" s="24"/>
      <c r="AJ381" s="22"/>
      <c r="AK381" s="22"/>
      <c r="AL381" s="22"/>
    </row>
    <row r="382" spans="1:38" ht="14.25" customHeight="1" x14ac:dyDescent="0.35">
      <c r="A382" s="22"/>
      <c r="B382" s="22"/>
      <c r="C382" s="23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4"/>
      <c r="Z382" s="22"/>
      <c r="AA382" s="22"/>
      <c r="AB382" s="22"/>
      <c r="AC382" s="22"/>
      <c r="AD382" s="22"/>
      <c r="AE382" s="22"/>
      <c r="AF382" s="22"/>
      <c r="AG382" s="22"/>
      <c r="AH382" s="22"/>
      <c r="AI382" s="24"/>
      <c r="AJ382" s="22"/>
      <c r="AK382" s="22"/>
      <c r="AL382" s="22"/>
    </row>
    <row r="383" spans="1:38" ht="14.25" customHeight="1" x14ac:dyDescent="0.35">
      <c r="A383" s="22"/>
      <c r="B383" s="22"/>
      <c r="C383" s="23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4"/>
      <c r="Z383" s="22"/>
      <c r="AA383" s="22"/>
      <c r="AB383" s="22"/>
      <c r="AC383" s="22"/>
      <c r="AD383" s="22"/>
      <c r="AE383" s="22"/>
      <c r="AF383" s="22"/>
      <c r="AG383" s="22"/>
      <c r="AH383" s="22"/>
      <c r="AI383" s="24"/>
      <c r="AJ383" s="22"/>
      <c r="AK383" s="22"/>
      <c r="AL383" s="22"/>
    </row>
    <row r="384" spans="1:38" ht="14.25" customHeight="1" x14ac:dyDescent="0.35">
      <c r="A384" s="22"/>
      <c r="B384" s="22"/>
      <c r="C384" s="23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4"/>
      <c r="Z384" s="22"/>
      <c r="AA384" s="22"/>
      <c r="AB384" s="22"/>
      <c r="AC384" s="22"/>
      <c r="AD384" s="22"/>
      <c r="AE384" s="22"/>
      <c r="AF384" s="22"/>
      <c r="AG384" s="22"/>
      <c r="AH384" s="22"/>
      <c r="AI384" s="24"/>
      <c r="AJ384" s="22"/>
      <c r="AK384" s="22"/>
      <c r="AL384" s="22"/>
    </row>
    <row r="385" spans="1:38" ht="14.25" customHeight="1" x14ac:dyDescent="0.35">
      <c r="A385" s="22"/>
      <c r="B385" s="22"/>
      <c r="C385" s="23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4"/>
      <c r="Z385" s="22"/>
      <c r="AA385" s="22"/>
      <c r="AB385" s="22"/>
      <c r="AC385" s="22"/>
      <c r="AD385" s="22"/>
      <c r="AE385" s="22"/>
      <c r="AF385" s="22"/>
      <c r="AG385" s="22"/>
      <c r="AH385" s="22"/>
      <c r="AI385" s="24"/>
      <c r="AJ385" s="22"/>
      <c r="AK385" s="22"/>
      <c r="AL385" s="22"/>
    </row>
    <row r="386" spans="1:38" ht="14.25" customHeight="1" x14ac:dyDescent="0.35">
      <c r="A386" s="22"/>
      <c r="B386" s="22"/>
      <c r="C386" s="23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4"/>
      <c r="Z386" s="22"/>
      <c r="AA386" s="22"/>
      <c r="AB386" s="22"/>
      <c r="AC386" s="22"/>
      <c r="AD386" s="22"/>
      <c r="AE386" s="22"/>
      <c r="AF386" s="22"/>
      <c r="AG386" s="22"/>
      <c r="AH386" s="22"/>
      <c r="AI386" s="24"/>
      <c r="AJ386" s="22"/>
      <c r="AK386" s="22"/>
      <c r="AL386" s="22"/>
    </row>
    <row r="387" spans="1:38" ht="14.25" customHeight="1" x14ac:dyDescent="0.35">
      <c r="A387" s="22"/>
      <c r="B387" s="22"/>
      <c r="C387" s="23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4"/>
      <c r="Z387" s="22"/>
      <c r="AA387" s="22"/>
      <c r="AB387" s="22"/>
      <c r="AC387" s="22"/>
      <c r="AD387" s="22"/>
      <c r="AE387" s="22"/>
      <c r="AF387" s="22"/>
      <c r="AG387" s="22"/>
      <c r="AH387" s="22"/>
      <c r="AI387" s="24"/>
      <c r="AJ387" s="22"/>
      <c r="AK387" s="22"/>
      <c r="AL387" s="22"/>
    </row>
    <row r="388" spans="1:38" ht="14.25" customHeight="1" x14ac:dyDescent="0.35">
      <c r="A388" s="22"/>
      <c r="B388" s="22"/>
      <c r="C388" s="23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4"/>
      <c r="Z388" s="22"/>
      <c r="AA388" s="22"/>
      <c r="AB388" s="22"/>
      <c r="AC388" s="22"/>
      <c r="AD388" s="22"/>
      <c r="AE388" s="22"/>
      <c r="AF388" s="22"/>
      <c r="AG388" s="22"/>
      <c r="AH388" s="22"/>
      <c r="AI388" s="24"/>
      <c r="AJ388" s="22"/>
      <c r="AK388" s="22"/>
      <c r="AL388" s="22"/>
    </row>
    <row r="389" spans="1:38" ht="14.25" customHeight="1" x14ac:dyDescent="0.35">
      <c r="A389" s="22"/>
      <c r="B389" s="22"/>
      <c r="C389" s="23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4"/>
      <c r="Z389" s="22"/>
      <c r="AA389" s="22"/>
      <c r="AB389" s="22"/>
      <c r="AC389" s="22"/>
      <c r="AD389" s="22"/>
      <c r="AE389" s="22"/>
      <c r="AF389" s="22"/>
      <c r="AG389" s="22"/>
      <c r="AH389" s="22"/>
      <c r="AI389" s="24"/>
      <c r="AJ389" s="22"/>
      <c r="AK389" s="22"/>
      <c r="AL389" s="22"/>
    </row>
    <row r="390" spans="1:38" ht="14.25" customHeight="1" x14ac:dyDescent="0.35">
      <c r="A390" s="22"/>
      <c r="B390" s="22"/>
      <c r="C390" s="23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4"/>
      <c r="Z390" s="22"/>
      <c r="AA390" s="22"/>
      <c r="AB390" s="22"/>
      <c r="AC390" s="22"/>
      <c r="AD390" s="22"/>
      <c r="AE390" s="22"/>
      <c r="AF390" s="22"/>
      <c r="AG390" s="22"/>
      <c r="AH390" s="22"/>
      <c r="AI390" s="24"/>
      <c r="AJ390" s="22"/>
      <c r="AK390" s="22"/>
      <c r="AL390" s="22"/>
    </row>
    <row r="391" spans="1:38" ht="14.25" customHeight="1" x14ac:dyDescent="0.35">
      <c r="A391" s="22"/>
      <c r="B391" s="22"/>
      <c r="C391" s="23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4"/>
      <c r="Z391" s="22"/>
      <c r="AA391" s="22"/>
      <c r="AB391" s="22"/>
      <c r="AC391" s="22"/>
      <c r="AD391" s="22"/>
      <c r="AE391" s="22"/>
      <c r="AF391" s="22"/>
      <c r="AG391" s="22"/>
      <c r="AH391" s="22"/>
      <c r="AI391" s="24"/>
      <c r="AJ391" s="22"/>
      <c r="AK391" s="22"/>
      <c r="AL391" s="22"/>
    </row>
    <row r="392" spans="1:38" ht="14.25" customHeight="1" x14ac:dyDescent="0.35">
      <c r="A392" s="22"/>
      <c r="B392" s="22"/>
      <c r="C392" s="23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4"/>
      <c r="Z392" s="22"/>
      <c r="AA392" s="22"/>
      <c r="AB392" s="22"/>
      <c r="AC392" s="22"/>
      <c r="AD392" s="22"/>
      <c r="AE392" s="22"/>
      <c r="AF392" s="22"/>
      <c r="AG392" s="22"/>
      <c r="AH392" s="22"/>
      <c r="AI392" s="24"/>
      <c r="AJ392" s="22"/>
      <c r="AK392" s="22"/>
      <c r="AL392" s="22"/>
    </row>
    <row r="393" spans="1:38" ht="14.25" customHeight="1" x14ac:dyDescent="0.35">
      <c r="A393" s="22"/>
      <c r="B393" s="22"/>
      <c r="C393" s="23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4"/>
      <c r="Z393" s="22"/>
      <c r="AA393" s="22"/>
      <c r="AB393" s="22"/>
      <c r="AC393" s="22"/>
      <c r="AD393" s="22"/>
      <c r="AE393" s="22"/>
      <c r="AF393" s="22"/>
      <c r="AG393" s="22"/>
      <c r="AH393" s="22"/>
      <c r="AI393" s="24"/>
      <c r="AJ393" s="22"/>
      <c r="AK393" s="22"/>
      <c r="AL393" s="22"/>
    </row>
    <row r="394" spans="1:38" ht="14.25" customHeight="1" x14ac:dyDescent="0.35">
      <c r="A394" s="22"/>
      <c r="B394" s="22"/>
      <c r="C394" s="23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4"/>
      <c r="Z394" s="22"/>
      <c r="AA394" s="22"/>
      <c r="AB394" s="22"/>
      <c r="AC394" s="22"/>
      <c r="AD394" s="22"/>
      <c r="AE394" s="22"/>
      <c r="AF394" s="22"/>
      <c r="AG394" s="22"/>
      <c r="AH394" s="22"/>
      <c r="AI394" s="24"/>
      <c r="AJ394" s="22"/>
      <c r="AK394" s="22"/>
      <c r="AL394" s="22"/>
    </row>
    <row r="395" spans="1:38" ht="14.25" customHeight="1" x14ac:dyDescent="0.35">
      <c r="A395" s="22"/>
      <c r="B395" s="22"/>
      <c r="C395" s="23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4"/>
      <c r="Z395" s="22"/>
      <c r="AA395" s="22"/>
      <c r="AB395" s="22"/>
      <c r="AC395" s="22"/>
      <c r="AD395" s="22"/>
      <c r="AE395" s="22"/>
      <c r="AF395" s="22"/>
      <c r="AG395" s="22"/>
      <c r="AH395" s="22"/>
      <c r="AI395" s="24"/>
      <c r="AJ395" s="22"/>
      <c r="AK395" s="22"/>
      <c r="AL395" s="22"/>
    </row>
    <row r="396" spans="1:38" ht="14.25" customHeight="1" x14ac:dyDescent="0.35">
      <c r="A396" s="22"/>
      <c r="B396" s="22"/>
      <c r="C396" s="23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4"/>
      <c r="Z396" s="22"/>
      <c r="AA396" s="22"/>
      <c r="AB396" s="22"/>
      <c r="AC396" s="22"/>
      <c r="AD396" s="22"/>
      <c r="AE396" s="22"/>
      <c r="AF396" s="22"/>
      <c r="AG396" s="22"/>
      <c r="AH396" s="22"/>
      <c r="AI396" s="24"/>
      <c r="AJ396" s="22"/>
      <c r="AK396" s="22"/>
      <c r="AL396" s="22"/>
    </row>
    <row r="397" spans="1:38" ht="14.25" customHeight="1" x14ac:dyDescent="0.35">
      <c r="A397" s="22"/>
      <c r="B397" s="22"/>
      <c r="C397" s="23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4"/>
      <c r="Z397" s="22"/>
      <c r="AA397" s="22"/>
      <c r="AB397" s="22"/>
      <c r="AC397" s="22"/>
      <c r="AD397" s="22"/>
      <c r="AE397" s="22"/>
      <c r="AF397" s="22"/>
      <c r="AG397" s="22"/>
      <c r="AH397" s="22"/>
      <c r="AI397" s="24"/>
      <c r="AJ397" s="22"/>
      <c r="AK397" s="22"/>
      <c r="AL397" s="22"/>
    </row>
    <row r="398" spans="1:38" ht="14.25" customHeight="1" x14ac:dyDescent="0.35">
      <c r="A398" s="22"/>
      <c r="B398" s="22"/>
      <c r="C398" s="23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4"/>
      <c r="Z398" s="22"/>
      <c r="AA398" s="22"/>
      <c r="AB398" s="22"/>
      <c r="AC398" s="22"/>
      <c r="AD398" s="22"/>
      <c r="AE398" s="22"/>
      <c r="AF398" s="22"/>
      <c r="AG398" s="22"/>
      <c r="AH398" s="22"/>
      <c r="AI398" s="24"/>
      <c r="AJ398" s="22"/>
      <c r="AK398" s="22"/>
      <c r="AL398" s="22"/>
    </row>
    <row r="399" spans="1:38" ht="14.25" customHeight="1" x14ac:dyDescent="0.35">
      <c r="A399" s="22"/>
      <c r="B399" s="22"/>
      <c r="C399" s="23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4"/>
      <c r="Z399" s="22"/>
      <c r="AA399" s="22"/>
      <c r="AB399" s="22"/>
      <c r="AC399" s="22"/>
      <c r="AD399" s="22"/>
      <c r="AE399" s="22"/>
      <c r="AF399" s="22"/>
      <c r="AG399" s="22"/>
      <c r="AH399" s="22"/>
      <c r="AI399" s="24"/>
      <c r="AJ399" s="22"/>
      <c r="AK399" s="22"/>
      <c r="AL399" s="22"/>
    </row>
    <row r="400" spans="1:38" ht="14.25" customHeight="1" x14ac:dyDescent="0.35">
      <c r="A400" s="22"/>
      <c r="B400" s="22"/>
      <c r="C400" s="23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4"/>
      <c r="Z400" s="22"/>
      <c r="AA400" s="22"/>
      <c r="AB400" s="22"/>
      <c r="AC400" s="22"/>
      <c r="AD400" s="22"/>
      <c r="AE400" s="22"/>
      <c r="AF400" s="22"/>
      <c r="AG400" s="22"/>
      <c r="AH400" s="22"/>
      <c r="AI400" s="24"/>
      <c r="AJ400" s="22"/>
      <c r="AK400" s="22"/>
      <c r="AL400" s="22"/>
    </row>
    <row r="401" spans="1:38" ht="14.25" customHeight="1" x14ac:dyDescent="0.35">
      <c r="A401" s="22"/>
      <c r="B401" s="22"/>
      <c r="C401" s="23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4"/>
      <c r="Z401" s="22"/>
      <c r="AA401" s="22"/>
      <c r="AB401" s="22"/>
      <c r="AC401" s="22"/>
      <c r="AD401" s="22"/>
      <c r="AE401" s="22"/>
      <c r="AF401" s="22"/>
      <c r="AG401" s="22"/>
      <c r="AH401" s="22"/>
      <c r="AI401" s="24"/>
      <c r="AJ401" s="22"/>
      <c r="AK401" s="22"/>
      <c r="AL401" s="22"/>
    </row>
    <row r="402" spans="1:38" ht="14.25" customHeight="1" x14ac:dyDescent="0.35">
      <c r="A402" s="22"/>
      <c r="B402" s="22"/>
      <c r="C402" s="23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4"/>
      <c r="Z402" s="22"/>
      <c r="AA402" s="22"/>
      <c r="AB402" s="22"/>
      <c r="AC402" s="22"/>
      <c r="AD402" s="22"/>
      <c r="AE402" s="22"/>
      <c r="AF402" s="22"/>
      <c r="AG402" s="22"/>
      <c r="AH402" s="22"/>
      <c r="AI402" s="24"/>
      <c r="AJ402" s="22"/>
      <c r="AK402" s="22"/>
      <c r="AL402" s="22"/>
    </row>
    <row r="403" spans="1:38" ht="14.25" customHeight="1" x14ac:dyDescent="0.35">
      <c r="A403" s="22"/>
      <c r="B403" s="22"/>
      <c r="C403" s="23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4"/>
      <c r="Z403" s="22"/>
      <c r="AA403" s="22"/>
      <c r="AB403" s="22"/>
      <c r="AC403" s="22"/>
      <c r="AD403" s="22"/>
      <c r="AE403" s="22"/>
      <c r="AF403" s="22"/>
      <c r="AG403" s="22"/>
      <c r="AH403" s="22"/>
      <c r="AI403" s="24"/>
      <c r="AJ403" s="22"/>
      <c r="AK403" s="22"/>
      <c r="AL403" s="22"/>
    </row>
    <row r="404" spans="1:38" ht="14.25" customHeight="1" x14ac:dyDescent="0.35">
      <c r="A404" s="22"/>
      <c r="B404" s="22"/>
      <c r="C404" s="23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4"/>
      <c r="Z404" s="22"/>
      <c r="AA404" s="22"/>
      <c r="AB404" s="22"/>
      <c r="AC404" s="22"/>
      <c r="AD404" s="22"/>
      <c r="AE404" s="22"/>
      <c r="AF404" s="22"/>
      <c r="AG404" s="22"/>
      <c r="AH404" s="22"/>
      <c r="AI404" s="24"/>
      <c r="AJ404" s="22"/>
      <c r="AK404" s="22"/>
      <c r="AL404" s="22"/>
    </row>
    <row r="405" spans="1:38" ht="14.25" customHeight="1" x14ac:dyDescent="0.35">
      <c r="A405" s="22"/>
      <c r="B405" s="22"/>
      <c r="C405" s="23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4"/>
      <c r="Z405" s="22"/>
      <c r="AA405" s="22"/>
      <c r="AB405" s="22"/>
      <c r="AC405" s="22"/>
      <c r="AD405" s="22"/>
      <c r="AE405" s="22"/>
      <c r="AF405" s="22"/>
      <c r="AG405" s="22"/>
      <c r="AH405" s="22"/>
      <c r="AI405" s="24"/>
      <c r="AJ405" s="22"/>
      <c r="AK405" s="22"/>
      <c r="AL405" s="22"/>
    </row>
    <row r="406" spans="1:38" ht="14.25" customHeight="1" x14ac:dyDescent="0.35">
      <c r="A406" s="22"/>
      <c r="B406" s="22"/>
      <c r="C406" s="23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4"/>
      <c r="Z406" s="22"/>
      <c r="AA406" s="22"/>
      <c r="AB406" s="22"/>
      <c r="AC406" s="22"/>
      <c r="AD406" s="22"/>
      <c r="AE406" s="22"/>
      <c r="AF406" s="22"/>
      <c r="AG406" s="22"/>
      <c r="AH406" s="22"/>
      <c r="AI406" s="24"/>
      <c r="AJ406" s="22"/>
      <c r="AK406" s="22"/>
      <c r="AL406" s="22"/>
    </row>
    <row r="407" spans="1:38" ht="14.25" customHeight="1" x14ac:dyDescent="0.35">
      <c r="A407" s="22"/>
      <c r="B407" s="22"/>
      <c r="C407" s="23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4"/>
      <c r="Z407" s="22"/>
      <c r="AA407" s="22"/>
      <c r="AB407" s="22"/>
      <c r="AC407" s="22"/>
      <c r="AD407" s="22"/>
      <c r="AE407" s="22"/>
      <c r="AF407" s="22"/>
      <c r="AG407" s="22"/>
      <c r="AH407" s="22"/>
      <c r="AI407" s="24"/>
      <c r="AJ407" s="22"/>
      <c r="AK407" s="22"/>
      <c r="AL407" s="22"/>
    </row>
    <row r="408" spans="1:38" ht="14.25" customHeight="1" x14ac:dyDescent="0.35">
      <c r="A408" s="22"/>
      <c r="B408" s="22"/>
      <c r="C408" s="23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4"/>
      <c r="Z408" s="22"/>
      <c r="AA408" s="22"/>
      <c r="AB408" s="22"/>
      <c r="AC408" s="22"/>
      <c r="AD408" s="22"/>
      <c r="AE408" s="22"/>
      <c r="AF408" s="22"/>
      <c r="AG408" s="22"/>
      <c r="AH408" s="22"/>
      <c r="AI408" s="24"/>
      <c r="AJ408" s="22"/>
      <c r="AK408" s="22"/>
      <c r="AL408" s="22"/>
    </row>
    <row r="409" spans="1:38" ht="14.25" customHeight="1" x14ac:dyDescent="0.35">
      <c r="A409" s="22"/>
      <c r="B409" s="22"/>
      <c r="C409" s="23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4"/>
      <c r="Z409" s="22"/>
      <c r="AA409" s="22"/>
      <c r="AB409" s="22"/>
      <c r="AC409" s="22"/>
      <c r="AD409" s="22"/>
      <c r="AE409" s="22"/>
      <c r="AF409" s="22"/>
      <c r="AG409" s="22"/>
      <c r="AH409" s="22"/>
      <c r="AI409" s="24"/>
      <c r="AJ409" s="22"/>
      <c r="AK409" s="22"/>
      <c r="AL409" s="22"/>
    </row>
    <row r="410" spans="1:38" ht="14.25" customHeight="1" x14ac:dyDescent="0.35">
      <c r="A410" s="22"/>
      <c r="B410" s="22"/>
      <c r="C410" s="23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4"/>
      <c r="Z410" s="22"/>
      <c r="AA410" s="22"/>
      <c r="AB410" s="22"/>
      <c r="AC410" s="22"/>
      <c r="AD410" s="22"/>
      <c r="AE410" s="22"/>
      <c r="AF410" s="22"/>
      <c r="AG410" s="22"/>
      <c r="AH410" s="22"/>
      <c r="AI410" s="24"/>
      <c r="AJ410" s="22"/>
      <c r="AK410" s="22"/>
      <c r="AL410" s="22"/>
    </row>
    <row r="411" spans="1:38" ht="14.25" customHeight="1" x14ac:dyDescent="0.35">
      <c r="A411" s="22"/>
      <c r="B411" s="22"/>
      <c r="C411" s="23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4"/>
      <c r="Z411" s="22"/>
      <c r="AA411" s="22"/>
      <c r="AB411" s="22"/>
      <c r="AC411" s="22"/>
      <c r="AD411" s="22"/>
      <c r="AE411" s="22"/>
      <c r="AF411" s="22"/>
      <c r="AG411" s="22"/>
      <c r="AH411" s="22"/>
      <c r="AI411" s="24"/>
      <c r="AJ411" s="22"/>
      <c r="AK411" s="22"/>
      <c r="AL411" s="22"/>
    </row>
    <row r="412" spans="1:38" ht="14.25" customHeight="1" x14ac:dyDescent="0.35">
      <c r="A412" s="22"/>
      <c r="B412" s="22"/>
      <c r="C412" s="23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4"/>
      <c r="Z412" s="22"/>
      <c r="AA412" s="22"/>
      <c r="AB412" s="22"/>
      <c r="AC412" s="22"/>
      <c r="AD412" s="22"/>
      <c r="AE412" s="22"/>
      <c r="AF412" s="22"/>
      <c r="AG412" s="22"/>
      <c r="AH412" s="22"/>
      <c r="AI412" s="24"/>
      <c r="AJ412" s="22"/>
      <c r="AK412" s="22"/>
      <c r="AL412" s="22"/>
    </row>
    <row r="413" spans="1:38" ht="14.25" customHeight="1" x14ac:dyDescent="0.35">
      <c r="A413" s="22"/>
      <c r="B413" s="22"/>
      <c r="C413" s="23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4"/>
      <c r="Z413" s="22"/>
      <c r="AA413" s="22"/>
      <c r="AB413" s="22"/>
      <c r="AC413" s="22"/>
      <c r="AD413" s="22"/>
      <c r="AE413" s="22"/>
      <c r="AF413" s="22"/>
      <c r="AG413" s="22"/>
      <c r="AH413" s="22"/>
      <c r="AI413" s="24"/>
      <c r="AJ413" s="22"/>
      <c r="AK413" s="22"/>
      <c r="AL413" s="22"/>
    </row>
    <row r="414" spans="1:38" ht="14.25" customHeight="1" x14ac:dyDescent="0.35">
      <c r="A414" s="22"/>
      <c r="B414" s="22"/>
      <c r="C414" s="23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4"/>
      <c r="Z414" s="22"/>
      <c r="AA414" s="22"/>
      <c r="AB414" s="22"/>
      <c r="AC414" s="22"/>
      <c r="AD414" s="22"/>
      <c r="AE414" s="22"/>
      <c r="AF414" s="22"/>
      <c r="AG414" s="22"/>
      <c r="AH414" s="22"/>
      <c r="AI414" s="24"/>
      <c r="AJ414" s="22"/>
      <c r="AK414" s="22"/>
      <c r="AL414" s="22"/>
    </row>
    <row r="415" spans="1:38" ht="14.25" customHeight="1" x14ac:dyDescent="0.35">
      <c r="A415" s="22"/>
      <c r="B415" s="22"/>
      <c r="C415" s="23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4"/>
      <c r="Z415" s="22"/>
      <c r="AA415" s="22"/>
      <c r="AB415" s="22"/>
      <c r="AC415" s="22"/>
      <c r="AD415" s="22"/>
      <c r="AE415" s="22"/>
      <c r="AF415" s="22"/>
      <c r="AG415" s="22"/>
      <c r="AH415" s="22"/>
      <c r="AI415" s="24"/>
      <c r="AJ415" s="22"/>
      <c r="AK415" s="22"/>
      <c r="AL415" s="22"/>
    </row>
    <row r="416" spans="1:38" ht="14.25" customHeight="1" x14ac:dyDescent="0.35">
      <c r="A416" s="22"/>
      <c r="B416" s="22"/>
      <c r="C416" s="23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4"/>
      <c r="Z416" s="22"/>
      <c r="AA416" s="22"/>
      <c r="AB416" s="22"/>
      <c r="AC416" s="22"/>
      <c r="AD416" s="22"/>
      <c r="AE416" s="22"/>
      <c r="AF416" s="22"/>
      <c r="AG416" s="22"/>
      <c r="AH416" s="22"/>
      <c r="AI416" s="24"/>
      <c r="AJ416" s="22"/>
      <c r="AK416" s="22"/>
      <c r="AL416" s="22"/>
    </row>
    <row r="417" spans="1:38" ht="14.25" customHeight="1" x14ac:dyDescent="0.35">
      <c r="A417" s="22"/>
      <c r="B417" s="22"/>
      <c r="C417" s="23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4"/>
      <c r="Z417" s="22"/>
      <c r="AA417" s="22"/>
      <c r="AB417" s="22"/>
      <c r="AC417" s="22"/>
      <c r="AD417" s="22"/>
      <c r="AE417" s="22"/>
      <c r="AF417" s="22"/>
      <c r="AG417" s="22"/>
      <c r="AH417" s="22"/>
      <c r="AI417" s="24"/>
      <c r="AJ417" s="22"/>
      <c r="AK417" s="22"/>
      <c r="AL417" s="22"/>
    </row>
    <row r="418" spans="1:38" ht="14.25" customHeight="1" x14ac:dyDescent="0.35">
      <c r="A418" s="22"/>
      <c r="B418" s="22"/>
      <c r="C418" s="23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4"/>
      <c r="Z418" s="22"/>
      <c r="AA418" s="22"/>
      <c r="AB418" s="22"/>
      <c r="AC418" s="22"/>
      <c r="AD418" s="22"/>
      <c r="AE418" s="22"/>
      <c r="AF418" s="22"/>
      <c r="AG418" s="22"/>
      <c r="AH418" s="22"/>
      <c r="AI418" s="24"/>
      <c r="AJ418" s="22"/>
      <c r="AK418" s="22"/>
      <c r="AL418" s="22"/>
    </row>
    <row r="419" spans="1:38" ht="14.25" customHeight="1" x14ac:dyDescent="0.35">
      <c r="A419" s="22"/>
      <c r="B419" s="22"/>
      <c r="C419" s="23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4"/>
      <c r="Z419" s="22"/>
      <c r="AA419" s="22"/>
      <c r="AB419" s="22"/>
      <c r="AC419" s="22"/>
      <c r="AD419" s="22"/>
      <c r="AE419" s="22"/>
      <c r="AF419" s="22"/>
      <c r="AG419" s="22"/>
      <c r="AH419" s="22"/>
      <c r="AI419" s="24"/>
      <c r="AJ419" s="22"/>
      <c r="AK419" s="22"/>
      <c r="AL419" s="22"/>
    </row>
    <row r="420" spans="1:38" ht="14.25" customHeight="1" x14ac:dyDescent="0.35">
      <c r="A420" s="22"/>
      <c r="B420" s="22"/>
      <c r="C420" s="23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4"/>
      <c r="Z420" s="22"/>
      <c r="AA420" s="22"/>
      <c r="AB420" s="22"/>
      <c r="AC420" s="22"/>
      <c r="AD420" s="22"/>
      <c r="AE420" s="22"/>
      <c r="AF420" s="22"/>
      <c r="AG420" s="22"/>
      <c r="AH420" s="22"/>
      <c r="AI420" s="24"/>
      <c r="AJ420" s="22"/>
      <c r="AK420" s="22"/>
      <c r="AL420" s="22"/>
    </row>
    <row r="421" spans="1:38" ht="14.25" customHeight="1" x14ac:dyDescent="0.35">
      <c r="A421" s="22"/>
      <c r="B421" s="22"/>
      <c r="C421" s="23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4"/>
      <c r="Z421" s="22"/>
      <c r="AA421" s="22"/>
      <c r="AB421" s="22"/>
      <c r="AC421" s="22"/>
      <c r="AD421" s="22"/>
      <c r="AE421" s="22"/>
      <c r="AF421" s="22"/>
      <c r="AG421" s="22"/>
      <c r="AH421" s="22"/>
      <c r="AI421" s="24"/>
      <c r="AJ421" s="22"/>
      <c r="AK421" s="22"/>
      <c r="AL421" s="22"/>
    </row>
    <row r="422" spans="1:38" ht="14.25" customHeight="1" x14ac:dyDescent="0.35">
      <c r="A422" s="22"/>
      <c r="B422" s="22"/>
      <c r="C422" s="23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4"/>
      <c r="Z422" s="22"/>
      <c r="AA422" s="22"/>
      <c r="AB422" s="22"/>
      <c r="AC422" s="22"/>
      <c r="AD422" s="22"/>
      <c r="AE422" s="22"/>
      <c r="AF422" s="22"/>
      <c r="AG422" s="22"/>
      <c r="AH422" s="22"/>
      <c r="AI422" s="24"/>
      <c r="AJ422" s="22"/>
      <c r="AK422" s="22"/>
      <c r="AL422" s="22"/>
    </row>
    <row r="423" spans="1:38" ht="14.25" customHeight="1" x14ac:dyDescent="0.35">
      <c r="A423" s="22"/>
      <c r="B423" s="22"/>
      <c r="C423" s="23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4"/>
      <c r="Z423" s="22"/>
      <c r="AA423" s="22"/>
      <c r="AB423" s="22"/>
      <c r="AC423" s="22"/>
      <c r="AD423" s="22"/>
      <c r="AE423" s="22"/>
      <c r="AF423" s="22"/>
      <c r="AG423" s="22"/>
      <c r="AH423" s="22"/>
      <c r="AI423" s="24"/>
      <c r="AJ423" s="22"/>
      <c r="AK423" s="22"/>
      <c r="AL423" s="22"/>
    </row>
    <row r="424" spans="1:38" ht="14.25" customHeight="1" x14ac:dyDescent="0.35">
      <c r="A424" s="22"/>
      <c r="B424" s="22"/>
      <c r="C424" s="23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4"/>
      <c r="Z424" s="22"/>
      <c r="AA424" s="22"/>
      <c r="AB424" s="22"/>
      <c r="AC424" s="22"/>
      <c r="AD424" s="22"/>
      <c r="AE424" s="22"/>
      <c r="AF424" s="22"/>
      <c r="AG424" s="22"/>
      <c r="AH424" s="22"/>
      <c r="AI424" s="24"/>
      <c r="AJ424" s="22"/>
      <c r="AK424" s="22"/>
      <c r="AL424" s="22"/>
    </row>
    <row r="425" spans="1:38" ht="14.25" customHeight="1" x14ac:dyDescent="0.35">
      <c r="A425" s="22"/>
      <c r="B425" s="22"/>
      <c r="C425" s="23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4"/>
      <c r="Z425" s="22"/>
      <c r="AA425" s="22"/>
      <c r="AB425" s="22"/>
      <c r="AC425" s="22"/>
      <c r="AD425" s="22"/>
      <c r="AE425" s="22"/>
      <c r="AF425" s="22"/>
      <c r="AG425" s="22"/>
      <c r="AH425" s="22"/>
      <c r="AI425" s="24"/>
      <c r="AJ425" s="22"/>
      <c r="AK425" s="22"/>
      <c r="AL425" s="22"/>
    </row>
    <row r="426" spans="1:38" ht="14.25" customHeight="1" x14ac:dyDescent="0.35">
      <c r="A426" s="22"/>
      <c r="B426" s="22"/>
      <c r="C426" s="23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4"/>
      <c r="Z426" s="22"/>
      <c r="AA426" s="22"/>
      <c r="AB426" s="22"/>
      <c r="AC426" s="22"/>
      <c r="AD426" s="22"/>
      <c r="AE426" s="22"/>
      <c r="AF426" s="22"/>
      <c r="AG426" s="22"/>
      <c r="AH426" s="22"/>
      <c r="AI426" s="24"/>
      <c r="AJ426" s="22"/>
      <c r="AK426" s="22"/>
      <c r="AL426" s="22"/>
    </row>
    <row r="427" spans="1:38" ht="14.25" customHeight="1" x14ac:dyDescent="0.35">
      <c r="A427" s="22"/>
      <c r="B427" s="22"/>
      <c r="C427" s="23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4"/>
      <c r="Z427" s="22"/>
      <c r="AA427" s="22"/>
      <c r="AB427" s="22"/>
      <c r="AC427" s="22"/>
      <c r="AD427" s="22"/>
      <c r="AE427" s="22"/>
      <c r="AF427" s="22"/>
      <c r="AG427" s="22"/>
      <c r="AH427" s="22"/>
      <c r="AI427" s="24"/>
      <c r="AJ427" s="22"/>
      <c r="AK427" s="22"/>
      <c r="AL427" s="22"/>
    </row>
    <row r="428" spans="1:38" ht="14.25" customHeight="1" x14ac:dyDescent="0.35">
      <c r="A428" s="22"/>
      <c r="B428" s="22"/>
      <c r="C428" s="23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4"/>
      <c r="Z428" s="22"/>
      <c r="AA428" s="22"/>
      <c r="AB428" s="22"/>
      <c r="AC428" s="22"/>
      <c r="AD428" s="22"/>
      <c r="AE428" s="22"/>
      <c r="AF428" s="22"/>
      <c r="AG428" s="22"/>
      <c r="AH428" s="22"/>
      <c r="AI428" s="24"/>
      <c r="AJ428" s="22"/>
      <c r="AK428" s="22"/>
      <c r="AL428" s="22"/>
    </row>
    <row r="429" spans="1:38" ht="14.25" customHeight="1" x14ac:dyDescent="0.35">
      <c r="A429" s="22"/>
      <c r="B429" s="22"/>
      <c r="C429" s="23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4"/>
      <c r="Z429" s="22"/>
      <c r="AA429" s="22"/>
      <c r="AB429" s="22"/>
      <c r="AC429" s="22"/>
      <c r="AD429" s="22"/>
      <c r="AE429" s="22"/>
      <c r="AF429" s="22"/>
      <c r="AG429" s="22"/>
      <c r="AH429" s="22"/>
      <c r="AI429" s="24"/>
      <c r="AJ429" s="22"/>
      <c r="AK429" s="22"/>
      <c r="AL429" s="22"/>
    </row>
    <row r="430" spans="1:38" ht="14.25" customHeight="1" x14ac:dyDescent="0.35">
      <c r="A430" s="22"/>
      <c r="B430" s="22"/>
      <c r="C430" s="23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4"/>
      <c r="Z430" s="22"/>
      <c r="AA430" s="22"/>
      <c r="AB430" s="22"/>
      <c r="AC430" s="22"/>
      <c r="AD430" s="22"/>
      <c r="AE430" s="22"/>
      <c r="AF430" s="22"/>
      <c r="AG430" s="22"/>
      <c r="AH430" s="22"/>
      <c r="AI430" s="24"/>
      <c r="AJ430" s="22"/>
      <c r="AK430" s="22"/>
      <c r="AL430" s="22"/>
    </row>
    <row r="431" spans="1:38" ht="14.25" customHeight="1" x14ac:dyDescent="0.35">
      <c r="A431" s="22"/>
      <c r="B431" s="22"/>
      <c r="C431" s="23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4"/>
      <c r="Z431" s="22"/>
      <c r="AA431" s="22"/>
      <c r="AB431" s="22"/>
      <c r="AC431" s="22"/>
      <c r="AD431" s="22"/>
      <c r="AE431" s="22"/>
      <c r="AF431" s="22"/>
      <c r="AG431" s="22"/>
      <c r="AH431" s="22"/>
      <c r="AI431" s="24"/>
      <c r="AJ431" s="22"/>
      <c r="AK431" s="22"/>
      <c r="AL431" s="22"/>
    </row>
    <row r="432" spans="1:38" ht="14.25" customHeight="1" x14ac:dyDescent="0.35">
      <c r="A432" s="22"/>
      <c r="B432" s="22"/>
      <c r="C432" s="23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4"/>
      <c r="Z432" s="22"/>
      <c r="AA432" s="22"/>
      <c r="AB432" s="22"/>
      <c r="AC432" s="22"/>
      <c r="AD432" s="22"/>
      <c r="AE432" s="22"/>
      <c r="AF432" s="22"/>
      <c r="AG432" s="22"/>
      <c r="AH432" s="22"/>
      <c r="AI432" s="24"/>
      <c r="AJ432" s="22"/>
      <c r="AK432" s="22"/>
      <c r="AL432" s="22"/>
    </row>
    <row r="433" spans="1:38" ht="14.25" customHeight="1" x14ac:dyDescent="0.35">
      <c r="A433" s="22"/>
      <c r="B433" s="22"/>
      <c r="C433" s="23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4"/>
      <c r="Z433" s="22"/>
      <c r="AA433" s="22"/>
      <c r="AB433" s="22"/>
      <c r="AC433" s="22"/>
      <c r="AD433" s="22"/>
      <c r="AE433" s="22"/>
      <c r="AF433" s="22"/>
      <c r="AG433" s="22"/>
      <c r="AH433" s="22"/>
      <c r="AI433" s="24"/>
      <c r="AJ433" s="22"/>
      <c r="AK433" s="22"/>
      <c r="AL433" s="22"/>
    </row>
    <row r="434" spans="1:38" ht="14.25" customHeight="1" x14ac:dyDescent="0.35">
      <c r="A434" s="22"/>
      <c r="B434" s="22"/>
      <c r="C434" s="23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4"/>
      <c r="Z434" s="22"/>
      <c r="AA434" s="22"/>
      <c r="AB434" s="22"/>
      <c r="AC434" s="22"/>
      <c r="AD434" s="22"/>
      <c r="AE434" s="22"/>
      <c r="AF434" s="22"/>
      <c r="AG434" s="22"/>
      <c r="AH434" s="22"/>
      <c r="AI434" s="24"/>
      <c r="AJ434" s="22"/>
      <c r="AK434" s="22"/>
      <c r="AL434" s="22"/>
    </row>
    <row r="435" spans="1:38" ht="14.25" customHeight="1" x14ac:dyDescent="0.35">
      <c r="A435" s="22"/>
      <c r="B435" s="22"/>
      <c r="C435" s="23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4"/>
      <c r="Z435" s="22"/>
      <c r="AA435" s="22"/>
      <c r="AB435" s="22"/>
      <c r="AC435" s="22"/>
      <c r="AD435" s="22"/>
      <c r="AE435" s="22"/>
      <c r="AF435" s="22"/>
      <c r="AG435" s="22"/>
      <c r="AH435" s="22"/>
      <c r="AI435" s="24"/>
      <c r="AJ435" s="22"/>
      <c r="AK435" s="22"/>
      <c r="AL435" s="22"/>
    </row>
    <row r="436" spans="1:38" ht="14.25" customHeight="1" x14ac:dyDescent="0.35">
      <c r="A436" s="22"/>
      <c r="B436" s="22"/>
      <c r="C436" s="23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4"/>
      <c r="Z436" s="22"/>
      <c r="AA436" s="22"/>
      <c r="AB436" s="22"/>
      <c r="AC436" s="22"/>
      <c r="AD436" s="22"/>
      <c r="AE436" s="22"/>
      <c r="AF436" s="22"/>
      <c r="AG436" s="22"/>
      <c r="AH436" s="22"/>
      <c r="AI436" s="24"/>
      <c r="AJ436" s="22"/>
      <c r="AK436" s="22"/>
      <c r="AL436" s="22"/>
    </row>
    <row r="437" spans="1:38" ht="14.25" customHeight="1" x14ac:dyDescent="0.35">
      <c r="A437" s="22"/>
      <c r="B437" s="22"/>
      <c r="C437" s="23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4"/>
      <c r="Z437" s="22"/>
      <c r="AA437" s="22"/>
      <c r="AB437" s="22"/>
      <c r="AC437" s="22"/>
      <c r="AD437" s="22"/>
      <c r="AE437" s="22"/>
      <c r="AF437" s="22"/>
      <c r="AG437" s="22"/>
      <c r="AH437" s="22"/>
      <c r="AI437" s="24"/>
      <c r="AJ437" s="22"/>
      <c r="AK437" s="22"/>
      <c r="AL437" s="22"/>
    </row>
    <row r="438" spans="1:38" ht="14.25" customHeight="1" x14ac:dyDescent="0.35">
      <c r="A438" s="22"/>
      <c r="B438" s="22"/>
      <c r="C438" s="23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4"/>
      <c r="Z438" s="22"/>
      <c r="AA438" s="22"/>
      <c r="AB438" s="22"/>
      <c r="AC438" s="22"/>
      <c r="AD438" s="22"/>
      <c r="AE438" s="22"/>
      <c r="AF438" s="22"/>
      <c r="AG438" s="22"/>
      <c r="AH438" s="22"/>
      <c r="AI438" s="24"/>
      <c r="AJ438" s="22"/>
      <c r="AK438" s="22"/>
      <c r="AL438" s="22"/>
    </row>
    <row r="439" spans="1:38" ht="14.25" customHeight="1" x14ac:dyDescent="0.35">
      <c r="A439" s="22"/>
      <c r="B439" s="22"/>
      <c r="C439" s="23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4"/>
      <c r="Z439" s="22"/>
      <c r="AA439" s="22"/>
      <c r="AB439" s="22"/>
      <c r="AC439" s="22"/>
      <c r="AD439" s="22"/>
      <c r="AE439" s="22"/>
      <c r="AF439" s="22"/>
      <c r="AG439" s="22"/>
      <c r="AH439" s="22"/>
      <c r="AI439" s="24"/>
      <c r="AJ439" s="22"/>
      <c r="AK439" s="22"/>
      <c r="AL439" s="22"/>
    </row>
    <row r="440" spans="1:38" ht="14.25" customHeight="1" x14ac:dyDescent="0.35">
      <c r="A440" s="22"/>
      <c r="B440" s="22"/>
      <c r="C440" s="23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4"/>
      <c r="Z440" s="22"/>
      <c r="AA440" s="22"/>
      <c r="AB440" s="22"/>
      <c r="AC440" s="22"/>
      <c r="AD440" s="22"/>
      <c r="AE440" s="22"/>
      <c r="AF440" s="22"/>
      <c r="AG440" s="22"/>
      <c r="AH440" s="22"/>
      <c r="AI440" s="24"/>
      <c r="AJ440" s="22"/>
      <c r="AK440" s="22"/>
      <c r="AL440" s="22"/>
    </row>
    <row r="441" spans="1:38" ht="14.25" customHeight="1" x14ac:dyDescent="0.35">
      <c r="A441" s="22"/>
      <c r="B441" s="22"/>
      <c r="C441" s="23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4"/>
      <c r="Z441" s="22"/>
      <c r="AA441" s="22"/>
      <c r="AB441" s="22"/>
      <c r="AC441" s="22"/>
      <c r="AD441" s="22"/>
      <c r="AE441" s="22"/>
      <c r="AF441" s="22"/>
      <c r="AG441" s="22"/>
      <c r="AH441" s="22"/>
      <c r="AI441" s="24"/>
      <c r="AJ441" s="22"/>
      <c r="AK441" s="22"/>
      <c r="AL441" s="22"/>
    </row>
    <row r="442" spans="1:38" ht="14.25" customHeight="1" x14ac:dyDescent="0.35">
      <c r="A442" s="22"/>
      <c r="B442" s="22"/>
      <c r="C442" s="23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4"/>
      <c r="Z442" s="22"/>
      <c r="AA442" s="22"/>
      <c r="AB442" s="22"/>
      <c r="AC442" s="22"/>
      <c r="AD442" s="22"/>
      <c r="AE442" s="22"/>
      <c r="AF442" s="22"/>
      <c r="AG442" s="22"/>
      <c r="AH442" s="22"/>
      <c r="AI442" s="24"/>
      <c r="AJ442" s="22"/>
      <c r="AK442" s="22"/>
      <c r="AL442" s="22"/>
    </row>
    <row r="443" spans="1:38" ht="14.25" customHeight="1" x14ac:dyDescent="0.35">
      <c r="A443" s="22"/>
      <c r="B443" s="22"/>
      <c r="C443" s="23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4"/>
      <c r="Z443" s="22"/>
      <c r="AA443" s="22"/>
      <c r="AB443" s="22"/>
      <c r="AC443" s="22"/>
      <c r="AD443" s="22"/>
      <c r="AE443" s="22"/>
      <c r="AF443" s="22"/>
      <c r="AG443" s="22"/>
      <c r="AH443" s="22"/>
      <c r="AI443" s="24"/>
      <c r="AJ443" s="22"/>
      <c r="AK443" s="22"/>
      <c r="AL443" s="22"/>
    </row>
    <row r="444" spans="1:38" ht="14.25" customHeight="1" x14ac:dyDescent="0.35">
      <c r="A444" s="22"/>
      <c r="B444" s="22"/>
      <c r="C444" s="23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4"/>
      <c r="Z444" s="22"/>
      <c r="AA444" s="22"/>
      <c r="AB444" s="22"/>
      <c r="AC444" s="22"/>
      <c r="AD444" s="22"/>
      <c r="AE444" s="22"/>
      <c r="AF444" s="22"/>
      <c r="AG444" s="22"/>
      <c r="AH444" s="22"/>
      <c r="AI444" s="24"/>
      <c r="AJ444" s="22"/>
      <c r="AK444" s="22"/>
      <c r="AL444" s="22"/>
    </row>
    <row r="445" spans="1:38" ht="14.25" customHeight="1" x14ac:dyDescent="0.35">
      <c r="A445" s="22"/>
      <c r="B445" s="22"/>
      <c r="C445" s="23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4"/>
      <c r="Z445" s="22"/>
      <c r="AA445" s="22"/>
      <c r="AB445" s="22"/>
      <c r="AC445" s="22"/>
      <c r="AD445" s="22"/>
      <c r="AE445" s="22"/>
      <c r="AF445" s="22"/>
      <c r="AG445" s="22"/>
      <c r="AH445" s="22"/>
      <c r="AI445" s="24"/>
      <c r="AJ445" s="22"/>
      <c r="AK445" s="22"/>
      <c r="AL445" s="22"/>
    </row>
    <row r="446" spans="1:38" ht="14.25" customHeight="1" x14ac:dyDescent="0.35">
      <c r="A446" s="22"/>
      <c r="B446" s="22"/>
      <c r="C446" s="23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4"/>
      <c r="Z446" s="22"/>
      <c r="AA446" s="22"/>
      <c r="AB446" s="22"/>
      <c r="AC446" s="22"/>
      <c r="AD446" s="22"/>
      <c r="AE446" s="22"/>
      <c r="AF446" s="22"/>
      <c r="AG446" s="22"/>
      <c r="AH446" s="22"/>
      <c r="AI446" s="24"/>
      <c r="AJ446" s="22"/>
      <c r="AK446" s="22"/>
      <c r="AL446" s="22"/>
    </row>
    <row r="447" spans="1:38" ht="14.25" customHeight="1" x14ac:dyDescent="0.35">
      <c r="A447" s="22"/>
      <c r="B447" s="22"/>
      <c r="C447" s="23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4"/>
      <c r="Z447" s="22"/>
      <c r="AA447" s="22"/>
      <c r="AB447" s="22"/>
      <c r="AC447" s="22"/>
      <c r="AD447" s="22"/>
      <c r="AE447" s="22"/>
      <c r="AF447" s="22"/>
      <c r="AG447" s="22"/>
      <c r="AH447" s="22"/>
      <c r="AI447" s="24"/>
      <c r="AJ447" s="22"/>
      <c r="AK447" s="22"/>
      <c r="AL447" s="22"/>
    </row>
    <row r="448" spans="1:38" ht="14.25" customHeight="1" x14ac:dyDescent="0.35">
      <c r="A448" s="22"/>
      <c r="B448" s="22"/>
      <c r="C448" s="23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4"/>
      <c r="Z448" s="22"/>
      <c r="AA448" s="22"/>
      <c r="AB448" s="22"/>
      <c r="AC448" s="22"/>
      <c r="AD448" s="22"/>
      <c r="AE448" s="22"/>
      <c r="AF448" s="22"/>
      <c r="AG448" s="22"/>
      <c r="AH448" s="22"/>
      <c r="AI448" s="24"/>
      <c r="AJ448" s="22"/>
      <c r="AK448" s="22"/>
      <c r="AL448" s="22"/>
    </row>
    <row r="449" spans="1:38" ht="14.25" customHeight="1" x14ac:dyDescent="0.35">
      <c r="A449" s="22"/>
      <c r="B449" s="22"/>
      <c r="C449" s="23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4"/>
      <c r="Z449" s="22"/>
      <c r="AA449" s="22"/>
      <c r="AB449" s="22"/>
      <c r="AC449" s="22"/>
      <c r="AD449" s="22"/>
      <c r="AE449" s="22"/>
      <c r="AF449" s="22"/>
      <c r="AG449" s="22"/>
      <c r="AH449" s="22"/>
      <c r="AI449" s="24"/>
      <c r="AJ449" s="22"/>
      <c r="AK449" s="22"/>
      <c r="AL449" s="22"/>
    </row>
    <row r="450" spans="1:38" ht="14.25" customHeight="1" x14ac:dyDescent="0.35">
      <c r="A450" s="22"/>
      <c r="B450" s="22"/>
      <c r="C450" s="23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4"/>
      <c r="Z450" s="22"/>
      <c r="AA450" s="22"/>
      <c r="AB450" s="22"/>
      <c r="AC450" s="22"/>
      <c r="AD450" s="22"/>
      <c r="AE450" s="22"/>
      <c r="AF450" s="22"/>
      <c r="AG450" s="22"/>
      <c r="AH450" s="22"/>
      <c r="AI450" s="24"/>
      <c r="AJ450" s="22"/>
      <c r="AK450" s="22"/>
      <c r="AL450" s="22"/>
    </row>
    <row r="451" spans="1:38" ht="14.25" customHeight="1" x14ac:dyDescent="0.35">
      <c r="A451" s="22"/>
      <c r="B451" s="22"/>
      <c r="C451" s="23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4"/>
      <c r="Z451" s="22"/>
      <c r="AA451" s="22"/>
      <c r="AB451" s="22"/>
      <c r="AC451" s="22"/>
      <c r="AD451" s="22"/>
      <c r="AE451" s="22"/>
      <c r="AF451" s="22"/>
      <c r="AG451" s="22"/>
      <c r="AH451" s="22"/>
      <c r="AI451" s="24"/>
      <c r="AJ451" s="22"/>
      <c r="AK451" s="22"/>
      <c r="AL451" s="22"/>
    </row>
    <row r="452" spans="1:38" ht="14.25" customHeight="1" x14ac:dyDescent="0.35">
      <c r="A452" s="22"/>
      <c r="B452" s="22"/>
      <c r="C452" s="23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4"/>
      <c r="Z452" s="22"/>
      <c r="AA452" s="22"/>
      <c r="AB452" s="22"/>
      <c r="AC452" s="22"/>
      <c r="AD452" s="22"/>
      <c r="AE452" s="22"/>
      <c r="AF452" s="22"/>
      <c r="AG452" s="22"/>
      <c r="AH452" s="22"/>
      <c r="AI452" s="24"/>
      <c r="AJ452" s="22"/>
      <c r="AK452" s="22"/>
      <c r="AL452" s="22"/>
    </row>
    <row r="453" spans="1:38" ht="14.25" customHeight="1" x14ac:dyDescent="0.35">
      <c r="A453" s="22"/>
      <c r="B453" s="22"/>
      <c r="C453" s="23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4"/>
      <c r="Z453" s="22"/>
      <c r="AA453" s="22"/>
      <c r="AB453" s="22"/>
      <c r="AC453" s="22"/>
      <c r="AD453" s="22"/>
      <c r="AE453" s="22"/>
      <c r="AF453" s="22"/>
      <c r="AG453" s="22"/>
      <c r="AH453" s="22"/>
      <c r="AI453" s="24"/>
      <c r="AJ453" s="22"/>
      <c r="AK453" s="22"/>
      <c r="AL453" s="22"/>
    </row>
    <row r="454" spans="1:38" ht="14.25" customHeight="1" x14ac:dyDescent="0.35">
      <c r="A454" s="22"/>
      <c r="B454" s="22"/>
      <c r="C454" s="23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4"/>
      <c r="Z454" s="22"/>
      <c r="AA454" s="22"/>
      <c r="AB454" s="22"/>
      <c r="AC454" s="22"/>
      <c r="AD454" s="22"/>
      <c r="AE454" s="22"/>
      <c r="AF454" s="22"/>
      <c r="AG454" s="22"/>
      <c r="AH454" s="22"/>
      <c r="AI454" s="24"/>
      <c r="AJ454" s="22"/>
      <c r="AK454" s="22"/>
      <c r="AL454" s="22"/>
    </row>
    <row r="455" spans="1:38" ht="14.25" customHeight="1" x14ac:dyDescent="0.35">
      <c r="A455" s="22"/>
      <c r="B455" s="22"/>
      <c r="C455" s="23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4"/>
      <c r="Z455" s="22"/>
      <c r="AA455" s="22"/>
      <c r="AB455" s="22"/>
      <c r="AC455" s="22"/>
      <c r="AD455" s="22"/>
      <c r="AE455" s="22"/>
      <c r="AF455" s="22"/>
      <c r="AG455" s="22"/>
      <c r="AH455" s="22"/>
      <c r="AI455" s="24"/>
      <c r="AJ455" s="22"/>
      <c r="AK455" s="22"/>
      <c r="AL455" s="22"/>
    </row>
    <row r="456" spans="1:38" ht="14.25" customHeight="1" x14ac:dyDescent="0.35">
      <c r="A456" s="22"/>
      <c r="B456" s="22"/>
      <c r="C456" s="23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4"/>
      <c r="Z456" s="22"/>
      <c r="AA456" s="22"/>
      <c r="AB456" s="22"/>
      <c r="AC456" s="22"/>
      <c r="AD456" s="22"/>
      <c r="AE456" s="22"/>
      <c r="AF456" s="22"/>
      <c r="AG456" s="22"/>
      <c r="AH456" s="22"/>
      <c r="AI456" s="24"/>
      <c r="AJ456" s="22"/>
      <c r="AK456" s="22"/>
      <c r="AL456" s="22"/>
    </row>
    <row r="457" spans="1:38" ht="14.25" customHeight="1" x14ac:dyDescent="0.35">
      <c r="A457" s="22"/>
      <c r="B457" s="22"/>
      <c r="C457" s="23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4"/>
      <c r="Z457" s="22"/>
      <c r="AA457" s="22"/>
      <c r="AB457" s="22"/>
      <c r="AC457" s="22"/>
      <c r="AD457" s="22"/>
      <c r="AE457" s="22"/>
      <c r="AF457" s="22"/>
      <c r="AG457" s="22"/>
      <c r="AH457" s="22"/>
      <c r="AI457" s="24"/>
      <c r="AJ457" s="22"/>
      <c r="AK457" s="22"/>
      <c r="AL457" s="22"/>
    </row>
    <row r="458" spans="1:38" ht="14.25" customHeight="1" x14ac:dyDescent="0.35">
      <c r="A458" s="22"/>
      <c r="B458" s="22"/>
      <c r="C458" s="23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4"/>
      <c r="Z458" s="22"/>
      <c r="AA458" s="22"/>
      <c r="AB458" s="22"/>
      <c r="AC458" s="22"/>
      <c r="AD458" s="22"/>
      <c r="AE458" s="22"/>
      <c r="AF458" s="22"/>
      <c r="AG458" s="22"/>
      <c r="AH458" s="22"/>
      <c r="AI458" s="24"/>
      <c r="AJ458" s="22"/>
      <c r="AK458" s="22"/>
      <c r="AL458" s="22"/>
    </row>
    <row r="459" spans="1:38" ht="14.25" customHeight="1" x14ac:dyDescent="0.35">
      <c r="A459" s="22"/>
      <c r="B459" s="22"/>
      <c r="C459" s="23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4"/>
      <c r="Z459" s="22"/>
      <c r="AA459" s="22"/>
      <c r="AB459" s="22"/>
      <c r="AC459" s="22"/>
      <c r="AD459" s="22"/>
      <c r="AE459" s="22"/>
      <c r="AF459" s="22"/>
      <c r="AG459" s="22"/>
      <c r="AH459" s="22"/>
      <c r="AI459" s="24"/>
      <c r="AJ459" s="22"/>
      <c r="AK459" s="22"/>
      <c r="AL459" s="22"/>
    </row>
    <row r="460" spans="1:38" ht="14.25" customHeight="1" x14ac:dyDescent="0.35">
      <c r="A460" s="22"/>
      <c r="B460" s="22"/>
      <c r="C460" s="23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4"/>
      <c r="Z460" s="22"/>
      <c r="AA460" s="22"/>
      <c r="AB460" s="22"/>
      <c r="AC460" s="22"/>
      <c r="AD460" s="22"/>
      <c r="AE460" s="22"/>
      <c r="AF460" s="22"/>
      <c r="AG460" s="22"/>
      <c r="AH460" s="22"/>
      <c r="AI460" s="24"/>
      <c r="AJ460" s="22"/>
      <c r="AK460" s="22"/>
      <c r="AL460" s="22"/>
    </row>
    <row r="461" spans="1:38" ht="14.25" customHeight="1" x14ac:dyDescent="0.35">
      <c r="A461" s="22"/>
      <c r="B461" s="22"/>
      <c r="C461" s="23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4"/>
      <c r="Z461" s="22"/>
      <c r="AA461" s="22"/>
      <c r="AB461" s="22"/>
      <c r="AC461" s="22"/>
      <c r="AD461" s="22"/>
      <c r="AE461" s="22"/>
      <c r="AF461" s="22"/>
      <c r="AG461" s="22"/>
      <c r="AH461" s="22"/>
      <c r="AI461" s="24"/>
      <c r="AJ461" s="22"/>
      <c r="AK461" s="22"/>
      <c r="AL461" s="22"/>
    </row>
    <row r="462" spans="1:38" ht="14.25" customHeight="1" x14ac:dyDescent="0.35">
      <c r="A462" s="22"/>
      <c r="B462" s="22"/>
      <c r="C462" s="23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4"/>
      <c r="Z462" s="22"/>
      <c r="AA462" s="22"/>
      <c r="AB462" s="22"/>
      <c r="AC462" s="22"/>
      <c r="AD462" s="22"/>
      <c r="AE462" s="22"/>
      <c r="AF462" s="22"/>
      <c r="AG462" s="22"/>
      <c r="AH462" s="22"/>
      <c r="AI462" s="24"/>
      <c r="AJ462" s="22"/>
      <c r="AK462" s="22"/>
      <c r="AL462" s="22"/>
    </row>
    <row r="463" spans="1:38" ht="14.25" customHeight="1" x14ac:dyDescent="0.35">
      <c r="A463" s="22"/>
      <c r="B463" s="22"/>
      <c r="C463" s="23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4"/>
      <c r="Z463" s="22"/>
      <c r="AA463" s="22"/>
      <c r="AB463" s="22"/>
      <c r="AC463" s="22"/>
      <c r="AD463" s="22"/>
      <c r="AE463" s="22"/>
      <c r="AF463" s="22"/>
      <c r="AG463" s="22"/>
      <c r="AH463" s="22"/>
      <c r="AI463" s="24"/>
      <c r="AJ463" s="22"/>
      <c r="AK463" s="22"/>
      <c r="AL463" s="22"/>
    </row>
    <row r="464" spans="1:38" ht="14.25" customHeight="1" x14ac:dyDescent="0.35">
      <c r="A464" s="22"/>
      <c r="B464" s="22"/>
      <c r="C464" s="23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4"/>
      <c r="Z464" s="22"/>
      <c r="AA464" s="22"/>
      <c r="AB464" s="22"/>
      <c r="AC464" s="22"/>
      <c r="AD464" s="22"/>
      <c r="AE464" s="22"/>
      <c r="AF464" s="22"/>
      <c r="AG464" s="22"/>
      <c r="AH464" s="22"/>
      <c r="AI464" s="24"/>
      <c r="AJ464" s="22"/>
      <c r="AK464" s="22"/>
      <c r="AL464" s="22"/>
    </row>
    <row r="465" spans="1:38" ht="14.25" customHeight="1" x14ac:dyDescent="0.35">
      <c r="A465" s="22"/>
      <c r="B465" s="22"/>
      <c r="C465" s="23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4"/>
      <c r="Z465" s="22"/>
      <c r="AA465" s="22"/>
      <c r="AB465" s="22"/>
      <c r="AC465" s="22"/>
      <c r="AD465" s="22"/>
      <c r="AE465" s="22"/>
      <c r="AF465" s="22"/>
      <c r="AG465" s="22"/>
      <c r="AH465" s="22"/>
      <c r="AI465" s="24"/>
      <c r="AJ465" s="22"/>
      <c r="AK465" s="22"/>
      <c r="AL465" s="22"/>
    </row>
    <row r="466" spans="1:38" ht="14.25" customHeight="1" x14ac:dyDescent="0.35">
      <c r="A466" s="22"/>
      <c r="B466" s="22"/>
      <c r="C466" s="23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4"/>
      <c r="Z466" s="22"/>
      <c r="AA466" s="22"/>
      <c r="AB466" s="22"/>
      <c r="AC466" s="22"/>
      <c r="AD466" s="22"/>
      <c r="AE466" s="22"/>
      <c r="AF466" s="22"/>
      <c r="AG466" s="22"/>
      <c r="AH466" s="22"/>
      <c r="AI466" s="24"/>
      <c r="AJ466" s="22"/>
      <c r="AK466" s="22"/>
      <c r="AL466" s="22"/>
    </row>
    <row r="467" spans="1:38" ht="14.25" customHeight="1" x14ac:dyDescent="0.35">
      <c r="A467" s="22"/>
      <c r="B467" s="22"/>
      <c r="C467" s="23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4"/>
      <c r="Z467" s="22"/>
      <c r="AA467" s="22"/>
      <c r="AB467" s="22"/>
      <c r="AC467" s="22"/>
      <c r="AD467" s="22"/>
      <c r="AE467" s="22"/>
      <c r="AF467" s="22"/>
      <c r="AG467" s="22"/>
      <c r="AH467" s="22"/>
      <c r="AI467" s="24"/>
      <c r="AJ467" s="22"/>
      <c r="AK467" s="22"/>
      <c r="AL467" s="22"/>
    </row>
    <row r="468" spans="1:38" ht="14.25" customHeight="1" x14ac:dyDescent="0.35">
      <c r="A468" s="22"/>
      <c r="B468" s="22"/>
      <c r="C468" s="23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4"/>
      <c r="Z468" s="22"/>
      <c r="AA468" s="22"/>
      <c r="AB468" s="22"/>
      <c r="AC468" s="22"/>
      <c r="AD468" s="22"/>
      <c r="AE468" s="22"/>
      <c r="AF468" s="22"/>
      <c r="AG468" s="22"/>
      <c r="AH468" s="22"/>
      <c r="AI468" s="24"/>
      <c r="AJ468" s="22"/>
      <c r="AK468" s="22"/>
      <c r="AL468" s="22"/>
    </row>
    <row r="469" spans="1:38" ht="14.25" customHeight="1" x14ac:dyDescent="0.35">
      <c r="A469" s="22"/>
      <c r="B469" s="22"/>
      <c r="C469" s="23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4"/>
      <c r="Z469" s="22"/>
      <c r="AA469" s="22"/>
      <c r="AB469" s="22"/>
      <c r="AC469" s="22"/>
      <c r="AD469" s="22"/>
      <c r="AE469" s="22"/>
      <c r="AF469" s="22"/>
      <c r="AG469" s="22"/>
      <c r="AH469" s="22"/>
      <c r="AI469" s="24"/>
      <c r="AJ469" s="22"/>
      <c r="AK469" s="22"/>
      <c r="AL469" s="22"/>
    </row>
    <row r="470" spans="1:38" ht="14.25" customHeight="1" x14ac:dyDescent="0.35">
      <c r="A470" s="22"/>
      <c r="B470" s="22"/>
      <c r="C470" s="23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4"/>
      <c r="Z470" s="22"/>
      <c r="AA470" s="22"/>
      <c r="AB470" s="22"/>
      <c r="AC470" s="22"/>
      <c r="AD470" s="22"/>
      <c r="AE470" s="22"/>
      <c r="AF470" s="22"/>
      <c r="AG470" s="22"/>
      <c r="AH470" s="22"/>
      <c r="AI470" s="24"/>
      <c r="AJ470" s="22"/>
      <c r="AK470" s="22"/>
      <c r="AL470" s="22"/>
    </row>
    <row r="471" spans="1:38" ht="14.25" customHeight="1" x14ac:dyDescent="0.35">
      <c r="A471" s="22"/>
      <c r="B471" s="22"/>
      <c r="C471" s="23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4"/>
      <c r="Z471" s="22"/>
      <c r="AA471" s="22"/>
      <c r="AB471" s="22"/>
      <c r="AC471" s="22"/>
      <c r="AD471" s="22"/>
      <c r="AE471" s="22"/>
      <c r="AF471" s="22"/>
      <c r="AG471" s="22"/>
      <c r="AH471" s="22"/>
      <c r="AI471" s="24"/>
      <c r="AJ471" s="22"/>
      <c r="AK471" s="22"/>
      <c r="AL471" s="22"/>
    </row>
    <row r="472" spans="1:38" ht="14.25" customHeight="1" x14ac:dyDescent="0.35">
      <c r="A472" s="22"/>
      <c r="B472" s="22"/>
      <c r="C472" s="23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4"/>
      <c r="Z472" s="22"/>
      <c r="AA472" s="22"/>
      <c r="AB472" s="22"/>
      <c r="AC472" s="22"/>
      <c r="AD472" s="22"/>
      <c r="AE472" s="22"/>
      <c r="AF472" s="22"/>
      <c r="AG472" s="22"/>
      <c r="AH472" s="22"/>
      <c r="AI472" s="24"/>
      <c r="AJ472" s="22"/>
      <c r="AK472" s="22"/>
      <c r="AL472" s="22"/>
    </row>
    <row r="473" spans="1:38" ht="14.25" customHeight="1" x14ac:dyDescent="0.35">
      <c r="A473" s="22"/>
      <c r="B473" s="22"/>
      <c r="C473" s="23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4"/>
      <c r="Z473" s="22"/>
      <c r="AA473" s="22"/>
      <c r="AB473" s="22"/>
      <c r="AC473" s="22"/>
      <c r="AD473" s="22"/>
      <c r="AE473" s="22"/>
      <c r="AF473" s="22"/>
      <c r="AG473" s="22"/>
      <c r="AH473" s="22"/>
      <c r="AI473" s="24"/>
      <c r="AJ473" s="22"/>
      <c r="AK473" s="22"/>
      <c r="AL473" s="22"/>
    </row>
    <row r="474" spans="1:38" ht="14.25" customHeight="1" x14ac:dyDescent="0.35">
      <c r="A474" s="22"/>
      <c r="B474" s="22"/>
      <c r="C474" s="23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4"/>
      <c r="Z474" s="22"/>
      <c r="AA474" s="22"/>
      <c r="AB474" s="22"/>
      <c r="AC474" s="22"/>
      <c r="AD474" s="22"/>
      <c r="AE474" s="22"/>
      <c r="AF474" s="22"/>
      <c r="AG474" s="22"/>
      <c r="AH474" s="22"/>
      <c r="AI474" s="24"/>
      <c r="AJ474" s="22"/>
      <c r="AK474" s="22"/>
      <c r="AL474" s="22"/>
    </row>
    <row r="475" spans="1:38" ht="14.25" customHeight="1" x14ac:dyDescent="0.35">
      <c r="A475" s="22"/>
      <c r="B475" s="22"/>
      <c r="C475" s="23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4"/>
      <c r="Z475" s="22"/>
      <c r="AA475" s="22"/>
      <c r="AB475" s="22"/>
      <c r="AC475" s="22"/>
      <c r="AD475" s="22"/>
      <c r="AE475" s="22"/>
      <c r="AF475" s="22"/>
      <c r="AG475" s="22"/>
      <c r="AH475" s="22"/>
      <c r="AI475" s="24"/>
      <c r="AJ475" s="22"/>
      <c r="AK475" s="22"/>
      <c r="AL475" s="22"/>
    </row>
    <row r="476" spans="1:38" ht="14.25" customHeight="1" x14ac:dyDescent="0.35">
      <c r="A476" s="22"/>
      <c r="B476" s="22"/>
      <c r="C476" s="23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4"/>
      <c r="Z476" s="22"/>
      <c r="AA476" s="22"/>
      <c r="AB476" s="22"/>
      <c r="AC476" s="22"/>
      <c r="AD476" s="22"/>
      <c r="AE476" s="22"/>
      <c r="AF476" s="22"/>
      <c r="AG476" s="22"/>
      <c r="AH476" s="22"/>
      <c r="AI476" s="24"/>
      <c r="AJ476" s="22"/>
      <c r="AK476" s="22"/>
      <c r="AL476" s="22"/>
    </row>
    <row r="477" spans="1:38" ht="14.25" customHeight="1" x14ac:dyDescent="0.35">
      <c r="A477" s="22"/>
      <c r="B477" s="22"/>
      <c r="C477" s="23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4"/>
      <c r="Z477" s="22"/>
      <c r="AA477" s="22"/>
      <c r="AB477" s="22"/>
      <c r="AC477" s="22"/>
      <c r="AD477" s="22"/>
      <c r="AE477" s="22"/>
      <c r="AF477" s="22"/>
      <c r="AG477" s="22"/>
      <c r="AH477" s="22"/>
      <c r="AI477" s="24"/>
      <c r="AJ477" s="22"/>
      <c r="AK477" s="22"/>
      <c r="AL477" s="22"/>
    </row>
    <row r="478" spans="1:38" ht="14.25" customHeight="1" x14ac:dyDescent="0.35">
      <c r="A478" s="22"/>
      <c r="B478" s="22"/>
      <c r="C478" s="23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4"/>
      <c r="Z478" s="22"/>
      <c r="AA478" s="22"/>
      <c r="AB478" s="22"/>
      <c r="AC478" s="22"/>
      <c r="AD478" s="22"/>
      <c r="AE478" s="22"/>
      <c r="AF478" s="22"/>
      <c r="AG478" s="22"/>
      <c r="AH478" s="22"/>
      <c r="AI478" s="24"/>
      <c r="AJ478" s="22"/>
      <c r="AK478" s="22"/>
      <c r="AL478" s="22"/>
    </row>
    <row r="479" spans="1:38" ht="14.25" customHeight="1" x14ac:dyDescent="0.35">
      <c r="A479" s="22"/>
      <c r="B479" s="22"/>
      <c r="C479" s="23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4"/>
      <c r="Z479" s="22"/>
      <c r="AA479" s="22"/>
      <c r="AB479" s="22"/>
      <c r="AC479" s="22"/>
      <c r="AD479" s="22"/>
      <c r="AE479" s="22"/>
      <c r="AF479" s="22"/>
      <c r="AG479" s="22"/>
      <c r="AH479" s="22"/>
      <c r="AI479" s="24"/>
      <c r="AJ479" s="22"/>
      <c r="AK479" s="22"/>
      <c r="AL479" s="22"/>
    </row>
    <row r="480" spans="1:38" ht="14.25" customHeight="1" x14ac:dyDescent="0.35">
      <c r="A480" s="22"/>
      <c r="B480" s="22"/>
      <c r="C480" s="23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4"/>
      <c r="Z480" s="22"/>
      <c r="AA480" s="22"/>
      <c r="AB480" s="22"/>
      <c r="AC480" s="22"/>
      <c r="AD480" s="22"/>
      <c r="AE480" s="22"/>
      <c r="AF480" s="22"/>
      <c r="AG480" s="22"/>
      <c r="AH480" s="22"/>
      <c r="AI480" s="24"/>
      <c r="AJ480" s="22"/>
      <c r="AK480" s="22"/>
      <c r="AL480" s="22"/>
    </row>
    <row r="481" spans="1:38" ht="14.25" customHeight="1" x14ac:dyDescent="0.35">
      <c r="A481" s="22"/>
      <c r="B481" s="22"/>
      <c r="C481" s="23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4"/>
      <c r="Z481" s="22"/>
      <c r="AA481" s="22"/>
      <c r="AB481" s="22"/>
      <c r="AC481" s="22"/>
      <c r="AD481" s="22"/>
      <c r="AE481" s="22"/>
      <c r="AF481" s="22"/>
      <c r="AG481" s="22"/>
      <c r="AH481" s="22"/>
      <c r="AI481" s="24"/>
      <c r="AJ481" s="22"/>
      <c r="AK481" s="22"/>
      <c r="AL481" s="22"/>
    </row>
    <row r="482" spans="1:38" ht="14.25" customHeight="1" x14ac:dyDescent="0.35">
      <c r="A482" s="22"/>
      <c r="B482" s="22"/>
      <c r="C482" s="23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4"/>
      <c r="Z482" s="22"/>
      <c r="AA482" s="22"/>
      <c r="AB482" s="22"/>
      <c r="AC482" s="22"/>
      <c r="AD482" s="22"/>
      <c r="AE482" s="22"/>
      <c r="AF482" s="22"/>
      <c r="AG482" s="22"/>
      <c r="AH482" s="22"/>
      <c r="AI482" s="24"/>
      <c r="AJ482" s="22"/>
      <c r="AK482" s="22"/>
      <c r="AL482" s="22"/>
    </row>
    <row r="483" spans="1:38" ht="14.25" customHeight="1" x14ac:dyDescent="0.35">
      <c r="A483" s="22"/>
      <c r="B483" s="22"/>
      <c r="C483" s="23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4"/>
      <c r="Z483" s="22"/>
      <c r="AA483" s="22"/>
      <c r="AB483" s="22"/>
      <c r="AC483" s="22"/>
      <c r="AD483" s="22"/>
      <c r="AE483" s="22"/>
      <c r="AF483" s="22"/>
      <c r="AG483" s="22"/>
      <c r="AH483" s="22"/>
      <c r="AI483" s="24"/>
      <c r="AJ483" s="22"/>
      <c r="AK483" s="22"/>
      <c r="AL483" s="22"/>
    </row>
    <row r="484" spans="1:38" ht="14.25" customHeight="1" x14ac:dyDescent="0.35">
      <c r="A484" s="22"/>
      <c r="B484" s="22"/>
      <c r="C484" s="23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4"/>
      <c r="Z484" s="22"/>
      <c r="AA484" s="22"/>
      <c r="AB484" s="22"/>
      <c r="AC484" s="22"/>
      <c r="AD484" s="22"/>
      <c r="AE484" s="22"/>
      <c r="AF484" s="22"/>
      <c r="AG484" s="22"/>
      <c r="AH484" s="22"/>
      <c r="AI484" s="24"/>
      <c r="AJ484" s="22"/>
      <c r="AK484" s="22"/>
      <c r="AL484" s="22"/>
    </row>
    <row r="485" spans="1:38" ht="14.25" customHeight="1" x14ac:dyDescent="0.35">
      <c r="A485" s="22"/>
      <c r="B485" s="22"/>
      <c r="C485" s="23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4"/>
      <c r="Z485" s="22"/>
      <c r="AA485" s="22"/>
      <c r="AB485" s="22"/>
      <c r="AC485" s="22"/>
      <c r="AD485" s="22"/>
      <c r="AE485" s="22"/>
      <c r="AF485" s="22"/>
      <c r="AG485" s="22"/>
      <c r="AH485" s="22"/>
      <c r="AI485" s="24"/>
      <c r="AJ485" s="22"/>
      <c r="AK485" s="22"/>
      <c r="AL485" s="22"/>
    </row>
    <row r="486" spans="1:38" ht="14.25" customHeight="1" x14ac:dyDescent="0.35">
      <c r="A486" s="22"/>
      <c r="B486" s="22"/>
      <c r="C486" s="23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4"/>
      <c r="Z486" s="22"/>
      <c r="AA486" s="22"/>
      <c r="AB486" s="22"/>
      <c r="AC486" s="22"/>
      <c r="AD486" s="22"/>
      <c r="AE486" s="22"/>
      <c r="AF486" s="22"/>
      <c r="AG486" s="22"/>
      <c r="AH486" s="22"/>
      <c r="AI486" s="24"/>
      <c r="AJ486" s="22"/>
      <c r="AK486" s="22"/>
      <c r="AL486" s="22"/>
    </row>
    <row r="487" spans="1:38" ht="14.25" customHeight="1" x14ac:dyDescent="0.35">
      <c r="A487" s="22"/>
      <c r="B487" s="22"/>
      <c r="C487" s="23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4"/>
      <c r="Z487" s="22"/>
      <c r="AA487" s="22"/>
      <c r="AB487" s="22"/>
      <c r="AC487" s="22"/>
      <c r="AD487" s="22"/>
      <c r="AE487" s="22"/>
      <c r="AF487" s="22"/>
      <c r="AG487" s="22"/>
      <c r="AH487" s="22"/>
      <c r="AI487" s="24"/>
      <c r="AJ487" s="22"/>
      <c r="AK487" s="22"/>
      <c r="AL487" s="22"/>
    </row>
    <row r="488" spans="1:38" ht="14.25" customHeight="1" x14ac:dyDescent="0.35">
      <c r="A488" s="22"/>
      <c r="B488" s="22"/>
      <c r="C488" s="23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4"/>
      <c r="Z488" s="22"/>
      <c r="AA488" s="22"/>
      <c r="AB488" s="22"/>
      <c r="AC488" s="22"/>
      <c r="AD488" s="22"/>
      <c r="AE488" s="22"/>
      <c r="AF488" s="22"/>
      <c r="AG488" s="22"/>
      <c r="AH488" s="22"/>
      <c r="AI488" s="24"/>
      <c r="AJ488" s="22"/>
      <c r="AK488" s="22"/>
      <c r="AL488" s="22"/>
    </row>
    <row r="489" spans="1:38" ht="14.25" customHeight="1" x14ac:dyDescent="0.35">
      <c r="A489" s="22"/>
      <c r="B489" s="22"/>
      <c r="C489" s="23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4"/>
      <c r="Z489" s="22"/>
      <c r="AA489" s="22"/>
      <c r="AB489" s="22"/>
      <c r="AC489" s="22"/>
      <c r="AD489" s="22"/>
      <c r="AE489" s="22"/>
      <c r="AF489" s="22"/>
      <c r="AG489" s="22"/>
      <c r="AH489" s="22"/>
      <c r="AI489" s="24"/>
      <c r="AJ489" s="22"/>
      <c r="AK489" s="22"/>
      <c r="AL489" s="22"/>
    </row>
    <row r="490" spans="1:38" ht="14.25" customHeight="1" x14ac:dyDescent="0.35">
      <c r="A490" s="22"/>
      <c r="B490" s="22"/>
      <c r="C490" s="23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4"/>
      <c r="Z490" s="22"/>
      <c r="AA490" s="22"/>
      <c r="AB490" s="22"/>
      <c r="AC490" s="22"/>
      <c r="AD490" s="22"/>
      <c r="AE490" s="22"/>
      <c r="AF490" s="22"/>
      <c r="AG490" s="22"/>
      <c r="AH490" s="22"/>
      <c r="AI490" s="24"/>
      <c r="AJ490" s="22"/>
      <c r="AK490" s="22"/>
      <c r="AL490" s="22"/>
    </row>
    <row r="491" spans="1:38" ht="14.25" customHeight="1" x14ac:dyDescent="0.35">
      <c r="A491" s="22"/>
      <c r="B491" s="22"/>
      <c r="C491" s="23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4"/>
      <c r="Z491" s="22"/>
      <c r="AA491" s="22"/>
      <c r="AB491" s="22"/>
      <c r="AC491" s="22"/>
      <c r="AD491" s="22"/>
      <c r="AE491" s="22"/>
      <c r="AF491" s="22"/>
      <c r="AG491" s="22"/>
      <c r="AH491" s="22"/>
      <c r="AI491" s="24"/>
      <c r="AJ491" s="22"/>
      <c r="AK491" s="22"/>
      <c r="AL491" s="22"/>
    </row>
    <row r="492" spans="1:38" ht="14.25" customHeight="1" x14ac:dyDescent="0.35">
      <c r="A492" s="22"/>
      <c r="B492" s="22"/>
      <c r="C492" s="23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4"/>
      <c r="Z492" s="22"/>
      <c r="AA492" s="22"/>
      <c r="AB492" s="22"/>
      <c r="AC492" s="22"/>
      <c r="AD492" s="22"/>
      <c r="AE492" s="22"/>
      <c r="AF492" s="22"/>
      <c r="AG492" s="22"/>
      <c r="AH492" s="22"/>
      <c r="AI492" s="24"/>
      <c r="AJ492" s="22"/>
      <c r="AK492" s="22"/>
      <c r="AL492" s="22"/>
    </row>
    <row r="493" spans="1:38" ht="14.25" customHeight="1" x14ac:dyDescent="0.35">
      <c r="A493" s="22"/>
      <c r="B493" s="22"/>
      <c r="C493" s="23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4"/>
      <c r="Z493" s="22"/>
      <c r="AA493" s="22"/>
      <c r="AB493" s="22"/>
      <c r="AC493" s="22"/>
      <c r="AD493" s="22"/>
      <c r="AE493" s="22"/>
      <c r="AF493" s="22"/>
      <c r="AG493" s="22"/>
      <c r="AH493" s="22"/>
      <c r="AI493" s="24"/>
      <c r="AJ493" s="22"/>
      <c r="AK493" s="22"/>
      <c r="AL493" s="22"/>
    </row>
    <row r="494" spans="1:38" ht="14.25" customHeight="1" x14ac:dyDescent="0.35">
      <c r="A494" s="22"/>
      <c r="B494" s="22"/>
      <c r="C494" s="23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4"/>
      <c r="Z494" s="22"/>
      <c r="AA494" s="22"/>
      <c r="AB494" s="22"/>
      <c r="AC494" s="22"/>
      <c r="AD494" s="22"/>
      <c r="AE494" s="22"/>
      <c r="AF494" s="22"/>
      <c r="AG494" s="22"/>
      <c r="AH494" s="22"/>
      <c r="AI494" s="24"/>
      <c r="AJ494" s="22"/>
      <c r="AK494" s="22"/>
      <c r="AL494" s="22"/>
    </row>
    <row r="495" spans="1:38" ht="14.25" customHeight="1" x14ac:dyDescent="0.35">
      <c r="A495" s="22"/>
      <c r="B495" s="22"/>
      <c r="C495" s="23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4"/>
      <c r="Z495" s="22"/>
      <c r="AA495" s="22"/>
      <c r="AB495" s="22"/>
      <c r="AC495" s="22"/>
      <c r="AD495" s="22"/>
      <c r="AE495" s="22"/>
      <c r="AF495" s="22"/>
      <c r="AG495" s="22"/>
      <c r="AH495" s="22"/>
      <c r="AI495" s="24"/>
      <c r="AJ495" s="22"/>
      <c r="AK495" s="22"/>
      <c r="AL495" s="22"/>
    </row>
    <row r="496" spans="1:38" ht="14.25" customHeight="1" x14ac:dyDescent="0.35">
      <c r="A496" s="22"/>
      <c r="B496" s="22"/>
      <c r="C496" s="23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4"/>
      <c r="Z496" s="22"/>
      <c r="AA496" s="22"/>
      <c r="AB496" s="22"/>
      <c r="AC496" s="22"/>
      <c r="AD496" s="22"/>
      <c r="AE496" s="22"/>
      <c r="AF496" s="22"/>
      <c r="AG496" s="22"/>
      <c r="AH496" s="22"/>
      <c r="AI496" s="24"/>
      <c r="AJ496" s="22"/>
      <c r="AK496" s="22"/>
      <c r="AL496" s="22"/>
    </row>
    <row r="497" spans="1:38" ht="14.25" customHeight="1" x14ac:dyDescent="0.35">
      <c r="A497" s="22"/>
      <c r="B497" s="22"/>
      <c r="C497" s="23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4"/>
      <c r="Z497" s="22"/>
      <c r="AA497" s="22"/>
      <c r="AB497" s="22"/>
      <c r="AC497" s="22"/>
      <c r="AD497" s="22"/>
      <c r="AE497" s="22"/>
      <c r="AF497" s="22"/>
      <c r="AG497" s="22"/>
      <c r="AH497" s="22"/>
      <c r="AI497" s="24"/>
      <c r="AJ497" s="22"/>
      <c r="AK497" s="22"/>
      <c r="AL497" s="22"/>
    </row>
    <row r="498" spans="1:38" ht="14.25" customHeight="1" x14ac:dyDescent="0.35">
      <c r="A498" s="22"/>
      <c r="B498" s="22"/>
      <c r="C498" s="23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4"/>
      <c r="Z498" s="22"/>
      <c r="AA498" s="22"/>
      <c r="AB498" s="22"/>
      <c r="AC498" s="22"/>
      <c r="AD498" s="22"/>
      <c r="AE498" s="22"/>
      <c r="AF498" s="22"/>
      <c r="AG498" s="22"/>
      <c r="AH498" s="22"/>
      <c r="AI498" s="24"/>
      <c r="AJ498" s="22"/>
      <c r="AK498" s="22"/>
      <c r="AL498" s="22"/>
    </row>
    <row r="499" spans="1:38" ht="14.25" customHeight="1" x14ac:dyDescent="0.35">
      <c r="A499" s="22"/>
      <c r="B499" s="22"/>
      <c r="C499" s="23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4"/>
      <c r="Z499" s="22"/>
      <c r="AA499" s="22"/>
      <c r="AB499" s="22"/>
      <c r="AC499" s="22"/>
      <c r="AD499" s="22"/>
      <c r="AE499" s="22"/>
      <c r="AF499" s="22"/>
      <c r="AG499" s="22"/>
      <c r="AH499" s="22"/>
      <c r="AI499" s="24"/>
      <c r="AJ499" s="22"/>
      <c r="AK499" s="22"/>
      <c r="AL499" s="22"/>
    </row>
    <row r="500" spans="1:38" ht="14.25" customHeight="1" x14ac:dyDescent="0.35">
      <c r="A500" s="22"/>
      <c r="B500" s="22"/>
      <c r="C500" s="23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4"/>
      <c r="Z500" s="22"/>
      <c r="AA500" s="22"/>
      <c r="AB500" s="22"/>
      <c r="AC500" s="22"/>
      <c r="AD500" s="22"/>
      <c r="AE500" s="22"/>
      <c r="AF500" s="22"/>
      <c r="AG500" s="22"/>
      <c r="AH500" s="22"/>
      <c r="AI500" s="24"/>
      <c r="AJ500" s="22"/>
      <c r="AK500" s="22"/>
      <c r="AL500" s="22"/>
    </row>
    <row r="501" spans="1:38" ht="14.25" customHeight="1" x14ac:dyDescent="0.35">
      <c r="A501" s="22"/>
      <c r="B501" s="22"/>
      <c r="C501" s="23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4"/>
      <c r="Z501" s="22"/>
      <c r="AA501" s="22"/>
      <c r="AB501" s="22"/>
      <c r="AC501" s="22"/>
      <c r="AD501" s="22"/>
      <c r="AE501" s="22"/>
      <c r="AF501" s="22"/>
      <c r="AG501" s="22"/>
      <c r="AH501" s="22"/>
      <c r="AI501" s="24"/>
      <c r="AJ501" s="22"/>
      <c r="AK501" s="22"/>
      <c r="AL501" s="22"/>
    </row>
    <row r="502" spans="1:38" ht="14.25" customHeight="1" x14ac:dyDescent="0.35">
      <c r="A502" s="22"/>
      <c r="B502" s="22"/>
      <c r="C502" s="23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4"/>
      <c r="Z502" s="22"/>
      <c r="AA502" s="22"/>
      <c r="AB502" s="22"/>
      <c r="AC502" s="22"/>
      <c r="AD502" s="22"/>
      <c r="AE502" s="22"/>
      <c r="AF502" s="22"/>
      <c r="AG502" s="22"/>
      <c r="AH502" s="22"/>
      <c r="AI502" s="24"/>
      <c r="AJ502" s="22"/>
      <c r="AK502" s="22"/>
      <c r="AL502" s="22"/>
    </row>
    <row r="503" spans="1:38" ht="14.25" customHeight="1" x14ac:dyDescent="0.35">
      <c r="A503" s="22"/>
      <c r="B503" s="22"/>
      <c r="C503" s="23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4"/>
      <c r="Z503" s="22"/>
      <c r="AA503" s="22"/>
      <c r="AB503" s="22"/>
      <c r="AC503" s="22"/>
      <c r="AD503" s="22"/>
      <c r="AE503" s="22"/>
      <c r="AF503" s="22"/>
      <c r="AG503" s="22"/>
      <c r="AH503" s="22"/>
      <c r="AI503" s="24"/>
      <c r="AJ503" s="22"/>
      <c r="AK503" s="22"/>
      <c r="AL503" s="22"/>
    </row>
    <row r="504" spans="1:38" ht="14.25" customHeight="1" x14ac:dyDescent="0.35">
      <c r="A504" s="22"/>
      <c r="B504" s="22"/>
      <c r="C504" s="23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4"/>
      <c r="Z504" s="22"/>
      <c r="AA504" s="22"/>
      <c r="AB504" s="22"/>
      <c r="AC504" s="22"/>
      <c r="AD504" s="22"/>
      <c r="AE504" s="22"/>
      <c r="AF504" s="22"/>
      <c r="AG504" s="22"/>
      <c r="AH504" s="22"/>
      <c r="AI504" s="24"/>
      <c r="AJ504" s="22"/>
      <c r="AK504" s="22"/>
      <c r="AL504" s="22"/>
    </row>
    <row r="505" spans="1:38" ht="14.25" customHeight="1" x14ac:dyDescent="0.35">
      <c r="A505" s="22"/>
      <c r="B505" s="22"/>
      <c r="C505" s="23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4"/>
      <c r="Z505" s="22"/>
      <c r="AA505" s="22"/>
      <c r="AB505" s="22"/>
      <c r="AC505" s="22"/>
      <c r="AD505" s="22"/>
      <c r="AE505" s="22"/>
      <c r="AF505" s="22"/>
      <c r="AG505" s="22"/>
      <c r="AH505" s="22"/>
      <c r="AI505" s="24"/>
      <c r="AJ505" s="22"/>
      <c r="AK505" s="22"/>
      <c r="AL505" s="22"/>
    </row>
    <row r="506" spans="1:38" ht="14.25" customHeight="1" x14ac:dyDescent="0.35">
      <c r="A506" s="22"/>
      <c r="B506" s="22"/>
      <c r="C506" s="23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4"/>
      <c r="Z506" s="22"/>
      <c r="AA506" s="22"/>
      <c r="AB506" s="22"/>
      <c r="AC506" s="22"/>
      <c r="AD506" s="22"/>
      <c r="AE506" s="22"/>
      <c r="AF506" s="22"/>
      <c r="AG506" s="22"/>
      <c r="AH506" s="22"/>
      <c r="AI506" s="24"/>
      <c r="AJ506" s="22"/>
      <c r="AK506" s="22"/>
      <c r="AL506" s="22"/>
    </row>
    <row r="507" spans="1:38" ht="14.25" customHeight="1" x14ac:dyDescent="0.35">
      <c r="A507" s="22"/>
      <c r="B507" s="22"/>
      <c r="C507" s="23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4"/>
      <c r="Z507" s="22"/>
      <c r="AA507" s="22"/>
      <c r="AB507" s="22"/>
      <c r="AC507" s="22"/>
      <c r="AD507" s="22"/>
      <c r="AE507" s="22"/>
      <c r="AF507" s="22"/>
      <c r="AG507" s="22"/>
      <c r="AH507" s="22"/>
      <c r="AI507" s="24"/>
      <c r="AJ507" s="22"/>
      <c r="AK507" s="22"/>
      <c r="AL507" s="22"/>
    </row>
    <row r="508" spans="1:38" ht="14.25" customHeight="1" x14ac:dyDescent="0.35">
      <c r="A508" s="22"/>
      <c r="B508" s="22"/>
      <c r="C508" s="23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4"/>
      <c r="Z508" s="22"/>
      <c r="AA508" s="22"/>
      <c r="AB508" s="22"/>
      <c r="AC508" s="22"/>
      <c r="AD508" s="22"/>
      <c r="AE508" s="22"/>
      <c r="AF508" s="22"/>
      <c r="AG508" s="22"/>
      <c r="AH508" s="22"/>
      <c r="AI508" s="24"/>
      <c r="AJ508" s="22"/>
      <c r="AK508" s="22"/>
      <c r="AL508" s="22"/>
    </row>
    <row r="509" spans="1:38" ht="14.25" customHeight="1" x14ac:dyDescent="0.35">
      <c r="A509" s="22"/>
      <c r="B509" s="22"/>
      <c r="C509" s="23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4"/>
      <c r="Z509" s="22"/>
      <c r="AA509" s="22"/>
      <c r="AB509" s="22"/>
      <c r="AC509" s="22"/>
      <c r="AD509" s="22"/>
      <c r="AE509" s="22"/>
      <c r="AF509" s="22"/>
      <c r="AG509" s="22"/>
      <c r="AH509" s="22"/>
      <c r="AI509" s="24"/>
      <c r="AJ509" s="22"/>
      <c r="AK509" s="22"/>
      <c r="AL509" s="22"/>
    </row>
    <row r="510" spans="1:38" ht="14.25" customHeight="1" x14ac:dyDescent="0.35">
      <c r="A510" s="22"/>
      <c r="B510" s="22"/>
      <c r="C510" s="23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4"/>
      <c r="Z510" s="22"/>
      <c r="AA510" s="22"/>
      <c r="AB510" s="22"/>
      <c r="AC510" s="22"/>
      <c r="AD510" s="22"/>
      <c r="AE510" s="22"/>
      <c r="AF510" s="22"/>
      <c r="AG510" s="22"/>
      <c r="AH510" s="22"/>
      <c r="AI510" s="24"/>
      <c r="AJ510" s="22"/>
      <c r="AK510" s="22"/>
      <c r="AL510" s="22"/>
    </row>
    <row r="511" spans="1:38" ht="14.25" customHeight="1" x14ac:dyDescent="0.35">
      <c r="A511" s="22"/>
      <c r="B511" s="22"/>
      <c r="C511" s="23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4"/>
      <c r="Z511" s="22"/>
      <c r="AA511" s="22"/>
      <c r="AB511" s="22"/>
      <c r="AC511" s="22"/>
      <c r="AD511" s="22"/>
      <c r="AE511" s="22"/>
      <c r="AF511" s="22"/>
      <c r="AG511" s="22"/>
      <c r="AH511" s="22"/>
      <c r="AI511" s="24"/>
      <c r="AJ511" s="22"/>
      <c r="AK511" s="22"/>
      <c r="AL511" s="22"/>
    </row>
    <row r="512" spans="1:38" ht="14.25" customHeight="1" x14ac:dyDescent="0.35">
      <c r="A512" s="22"/>
      <c r="B512" s="22"/>
      <c r="C512" s="23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4"/>
      <c r="Z512" s="22"/>
      <c r="AA512" s="22"/>
      <c r="AB512" s="22"/>
      <c r="AC512" s="22"/>
      <c r="AD512" s="22"/>
      <c r="AE512" s="22"/>
      <c r="AF512" s="22"/>
      <c r="AG512" s="22"/>
      <c r="AH512" s="22"/>
      <c r="AI512" s="24"/>
      <c r="AJ512" s="22"/>
      <c r="AK512" s="22"/>
      <c r="AL512" s="22"/>
    </row>
    <row r="513" spans="1:38" ht="14.25" customHeight="1" x14ac:dyDescent="0.35">
      <c r="A513" s="22"/>
      <c r="B513" s="22"/>
      <c r="C513" s="23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4"/>
      <c r="Z513" s="22"/>
      <c r="AA513" s="22"/>
      <c r="AB513" s="22"/>
      <c r="AC513" s="22"/>
      <c r="AD513" s="22"/>
      <c r="AE513" s="22"/>
      <c r="AF513" s="22"/>
      <c r="AG513" s="22"/>
      <c r="AH513" s="22"/>
      <c r="AI513" s="24"/>
      <c r="AJ513" s="22"/>
      <c r="AK513" s="22"/>
      <c r="AL513" s="22"/>
    </row>
    <row r="514" spans="1:38" ht="14.25" customHeight="1" x14ac:dyDescent="0.35">
      <c r="A514" s="22"/>
      <c r="B514" s="22"/>
      <c r="C514" s="23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4"/>
      <c r="Z514" s="22"/>
      <c r="AA514" s="22"/>
      <c r="AB514" s="22"/>
      <c r="AC514" s="22"/>
      <c r="AD514" s="22"/>
      <c r="AE514" s="22"/>
      <c r="AF514" s="22"/>
      <c r="AG514" s="22"/>
      <c r="AH514" s="22"/>
      <c r="AI514" s="24"/>
      <c r="AJ514" s="22"/>
      <c r="AK514" s="22"/>
      <c r="AL514" s="22"/>
    </row>
    <row r="515" spans="1:38" ht="14.25" customHeight="1" x14ac:dyDescent="0.35">
      <c r="A515" s="22"/>
      <c r="B515" s="22"/>
      <c r="C515" s="23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4"/>
      <c r="Z515" s="22"/>
      <c r="AA515" s="22"/>
      <c r="AB515" s="22"/>
      <c r="AC515" s="22"/>
      <c r="AD515" s="22"/>
      <c r="AE515" s="22"/>
      <c r="AF515" s="22"/>
      <c r="AG515" s="22"/>
      <c r="AH515" s="22"/>
      <c r="AI515" s="24"/>
      <c r="AJ515" s="22"/>
      <c r="AK515" s="22"/>
      <c r="AL515" s="22"/>
    </row>
    <row r="516" spans="1:38" ht="14.25" customHeight="1" x14ac:dyDescent="0.35">
      <c r="A516" s="22"/>
      <c r="B516" s="22"/>
      <c r="C516" s="23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4"/>
      <c r="Z516" s="22"/>
      <c r="AA516" s="22"/>
      <c r="AB516" s="22"/>
      <c r="AC516" s="22"/>
      <c r="AD516" s="22"/>
      <c r="AE516" s="22"/>
      <c r="AF516" s="22"/>
      <c r="AG516" s="22"/>
      <c r="AH516" s="22"/>
      <c r="AI516" s="24"/>
      <c r="AJ516" s="22"/>
      <c r="AK516" s="22"/>
      <c r="AL516" s="22"/>
    </row>
    <row r="517" spans="1:38" ht="14.25" customHeight="1" x14ac:dyDescent="0.35">
      <c r="A517" s="22"/>
      <c r="B517" s="22"/>
      <c r="C517" s="23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4"/>
      <c r="Z517" s="22"/>
      <c r="AA517" s="22"/>
      <c r="AB517" s="22"/>
      <c r="AC517" s="22"/>
      <c r="AD517" s="22"/>
      <c r="AE517" s="22"/>
      <c r="AF517" s="22"/>
      <c r="AG517" s="22"/>
      <c r="AH517" s="22"/>
      <c r="AI517" s="24"/>
      <c r="AJ517" s="22"/>
      <c r="AK517" s="22"/>
      <c r="AL517" s="22"/>
    </row>
    <row r="518" spans="1:38" ht="14.25" customHeight="1" x14ac:dyDescent="0.35">
      <c r="A518" s="22"/>
      <c r="B518" s="22"/>
      <c r="C518" s="23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4"/>
      <c r="Z518" s="22"/>
      <c r="AA518" s="22"/>
      <c r="AB518" s="22"/>
      <c r="AC518" s="22"/>
      <c r="AD518" s="22"/>
      <c r="AE518" s="22"/>
      <c r="AF518" s="22"/>
      <c r="AG518" s="22"/>
      <c r="AH518" s="22"/>
      <c r="AI518" s="24"/>
      <c r="AJ518" s="22"/>
      <c r="AK518" s="22"/>
      <c r="AL518" s="22"/>
    </row>
    <row r="519" spans="1:38" ht="14.25" customHeight="1" x14ac:dyDescent="0.35">
      <c r="A519" s="22"/>
      <c r="B519" s="22"/>
      <c r="C519" s="23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4"/>
      <c r="Z519" s="22"/>
      <c r="AA519" s="22"/>
      <c r="AB519" s="22"/>
      <c r="AC519" s="22"/>
      <c r="AD519" s="22"/>
      <c r="AE519" s="22"/>
      <c r="AF519" s="22"/>
      <c r="AG519" s="22"/>
      <c r="AH519" s="22"/>
      <c r="AI519" s="24"/>
      <c r="AJ519" s="22"/>
      <c r="AK519" s="22"/>
      <c r="AL519" s="22"/>
    </row>
    <row r="520" spans="1:38" ht="14.25" customHeight="1" x14ac:dyDescent="0.35">
      <c r="A520" s="22"/>
      <c r="B520" s="22"/>
      <c r="C520" s="23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4"/>
      <c r="Z520" s="22"/>
      <c r="AA520" s="22"/>
      <c r="AB520" s="22"/>
      <c r="AC520" s="22"/>
      <c r="AD520" s="22"/>
      <c r="AE520" s="22"/>
      <c r="AF520" s="22"/>
      <c r="AG520" s="22"/>
      <c r="AH520" s="22"/>
      <c r="AI520" s="24"/>
      <c r="AJ520" s="22"/>
      <c r="AK520" s="22"/>
      <c r="AL520" s="22"/>
    </row>
    <row r="521" spans="1:38" ht="14.25" customHeight="1" x14ac:dyDescent="0.35">
      <c r="A521" s="22"/>
      <c r="B521" s="22"/>
      <c r="C521" s="23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4"/>
      <c r="Z521" s="22"/>
      <c r="AA521" s="22"/>
      <c r="AB521" s="22"/>
      <c r="AC521" s="22"/>
      <c r="AD521" s="22"/>
      <c r="AE521" s="22"/>
      <c r="AF521" s="22"/>
      <c r="AG521" s="22"/>
      <c r="AH521" s="22"/>
      <c r="AI521" s="24"/>
      <c r="AJ521" s="22"/>
      <c r="AK521" s="22"/>
      <c r="AL521" s="22"/>
    </row>
    <row r="522" spans="1:38" ht="14.25" customHeight="1" x14ac:dyDescent="0.35">
      <c r="A522" s="22"/>
      <c r="B522" s="22"/>
      <c r="C522" s="23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4"/>
      <c r="Z522" s="22"/>
      <c r="AA522" s="22"/>
      <c r="AB522" s="22"/>
      <c r="AC522" s="22"/>
      <c r="AD522" s="22"/>
      <c r="AE522" s="22"/>
      <c r="AF522" s="22"/>
      <c r="AG522" s="22"/>
      <c r="AH522" s="22"/>
      <c r="AI522" s="24"/>
      <c r="AJ522" s="22"/>
      <c r="AK522" s="22"/>
      <c r="AL522" s="22"/>
    </row>
    <row r="523" spans="1:38" ht="14.25" customHeight="1" x14ac:dyDescent="0.35">
      <c r="A523" s="22"/>
      <c r="B523" s="22"/>
      <c r="C523" s="23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4"/>
      <c r="Z523" s="22"/>
      <c r="AA523" s="22"/>
      <c r="AB523" s="22"/>
      <c r="AC523" s="22"/>
      <c r="AD523" s="22"/>
      <c r="AE523" s="22"/>
      <c r="AF523" s="22"/>
      <c r="AG523" s="22"/>
      <c r="AH523" s="22"/>
      <c r="AI523" s="24"/>
      <c r="AJ523" s="22"/>
      <c r="AK523" s="22"/>
      <c r="AL523" s="22"/>
    </row>
    <row r="524" spans="1:38" ht="14.25" customHeight="1" x14ac:dyDescent="0.35">
      <c r="A524" s="22"/>
      <c r="B524" s="22"/>
      <c r="C524" s="23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4"/>
      <c r="Z524" s="22"/>
      <c r="AA524" s="22"/>
      <c r="AB524" s="22"/>
      <c r="AC524" s="22"/>
      <c r="AD524" s="22"/>
      <c r="AE524" s="22"/>
      <c r="AF524" s="22"/>
      <c r="AG524" s="22"/>
      <c r="AH524" s="22"/>
      <c r="AI524" s="24"/>
      <c r="AJ524" s="22"/>
      <c r="AK524" s="22"/>
      <c r="AL524" s="22"/>
    </row>
    <row r="525" spans="1:38" ht="14.25" customHeight="1" x14ac:dyDescent="0.35">
      <c r="A525" s="22"/>
      <c r="B525" s="22"/>
      <c r="C525" s="23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4"/>
      <c r="Z525" s="22"/>
      <c r="AA525" s="22"/>
      <c r="AB525" s="22"/>
      <c r="AC525" s="22"/>
      <c r="AD525" s="22"/>
      <c r="AE525" s="22"/>
      <c r="AF525" s="22"/>
      <c r="AG525" s="22"/>
      <c r="AH525" s="22"/>
      <c r="AI525" s="24"/>
      <c r="AJ525" s="22"/>
      <c r="AK525" s="22"/>
      <c r="AL525" s="22"/>
    </row>
    <row r="526" spans="1:38" ht="14.25" customHeight="1" x14ac:dyDescent="0.35">
      <c r="A526" s="22"/>
      <c r="B526" s="22"/>
      <c r="C526" s="23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4"/>
      <c r="Z526" s="22"/>
      <c r="AA526" s="22"/>
      <c r="AB526" s="22"/>
      <c r="AC526" s="22"/>
      <c r="AD526" s="22"/>
      <c r="AE526" s="22"/>
      <c r="AF526" s="22"/>
      <c r="AG526" s="22"/>
      <c r="AH526" s="22"/>
      <c r="AI526" s="24"/>
      <c r="AJ526" s="22"/>
      <c r="AK526" s="22"/>
      <c r="AL526" s="22"/>
    </row>
    <row r="527" spans="1:38" ht="14.25" customHeight="1" x14ac:dyDescent="0.35">
      <c r="A527" s="22"/>
      <c r="B527" s="22"/>
      <c r="C527" s="23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4"/>
      <c r="Z527" s="22"/>
      <c r="AA527" s="22"/>
      <c r="AB527" s="22"/>
      <c r="AC527" s="22"/>
      <c r="AD527" s="22"/>
      <c r="AE527" s="22"/>
      <c r="AF527" s="22"/>
      <c r="AG527" s="22"/>
      <c r="AH527" s="22"/>
      <c r="AI527" s="24"/>
      <c r="AJ527" s="22"/>
      <c r="AK527" s="22"/>
      <c r="AL527" s="22"/>
    </row>
    <row r="528" spans="1:38" ht="14.25" customHeight="1" x14ac:dyDescent="0.35">
      <c r="A528" s="22"/>
      <c r="B528" s="22"/>
      <c r="C528" s="23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4"/>
      <c r="Z528" s="22"/>
      <c r="AA528" s="22"/>
      <c r="AB528" s="22"/>
      <c r="AC528" s="22"/>
      <c r="AD528" s="22"/>
      <c r="AE528" s="22"/>
      <c r="AF528" s="22"/>
      <c r="AG528" s="22"/>
      <c r="AH528" s="22"/>
      <c r="AI528" s="24"/>
      <c r="AJ528" s="22"/>
      <c r="AK528" s="22"/>
      <c r="AL528" s="22"/>
    </row>
    <row r="529" spans="1:38" ht="14.25" customHeight="1" x14ac:dyDescent="0.35">
      <c r="A529" s="22"/>
      <c r="B529" s="22"/>
      <c r="C529" s="23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4"/>
      <c r="Z529" s="22"/>
      <c r="AA529" s="22"/>
      <c r="AB529" s="22"/>
      <c r="AC529" s="22"/>
      <c r="AD529" s="22"/>
      <c r="AE529" s="22"/>
      <c r="AF529" s="22"/>
      <c r="AG529" s="22"/>
      <c r="AH529" s="22"/>
      <c r="AI529" s="24"/>
      <c r="AJ529" s="22"/>
      <c r="AK529" s="22"/>
      <c r="AL529" s="22"/>
    </row>
    <row r="530" spans="1:38" ht="14.25" customHeight="1" x14ac:dyDescent="0.35">
      <c r="A530" s="22"/>
      <c r="B530" s="22"/>
      <c r="C530" s="23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4"/>
      <c r="Z530" s="22"/>
      <c r="AA530" s="22"/>
      <c r="AB530" s="22"/>
      <c r="AC530" s="22"/>
      <c r="AD530" s="22"/>
      <c r="AE530" s="22"/>
      <c r="AF530" s="22"/>
      <c r="AG530" s="22"/>
      <c r="AH530" s="22"/>
      <c r="AI530" s="24"/>
      <c r="AJ530" s="22"/>
      <c r="AK530" s="22"/>
      <c r="AL530" s="22"/>
    </row>
    <row r="531" spans="1:38" ht="14.25" customHeight="1" x14ac:dyDescent="0.35">
      <c r="A531" s="22"/>
      <c r="B531" s="22"/>
      <c r="C531" s="23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4"/>
      <c r="Z531" s="22"/>
      <c r="AA531" s="22"/>
      <c r="AB531" s="22"/>
      <c r="AC531" s="22"/>
      <c r="AD531" s="22"/>
      <c r="AE531" s="22"/>
      <c r="AF531" s="22"/>
      <c r="AG531" s="22"/>
      <c r="AH531" s="22"/>
      <c r="AI531" s="24"/>
      <c r="AJ531" s="22"/>
      <c r="AK531" s="22"/>
      <c r="AL531" s="22"/>
    </row>
    <row r="532" spans="1:38" ht="14.25" customHeight="1" x14ac:dyDescent="0.35">
      <c r="A532" s="22"/>
      <c r="B532" s="22"/>
      <c r="C532" s="23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4"/>
      <c r="Z532" s="22"/>
      <c r="AA532" s="22"/>
      <c r="AB532" s="22"/>
      <c r="AC532" s="22"/>
      <c r="AD532" s="22"/>
      <c r="AE532" s="22"/>
      <c r="AF532" s="22"/>
      <c r="AG532" s="22"/>
      <c r="AH532" s="22"/>
      <c r="AI532" s="24"/>
      <c r="AJ532" s="22"/>
      <c r="AK532" s="22"/>
      <c r="AL532" s="22"/>
    </row>
    <row r="533" spans="1:38" ht="14.25" customHeight="1" x14ac:dyDescent="0.35">
      <c r="A533" s="22"/>
      <c r="B533" s="22"/>
      <c r="C533" s="23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4"/>
      <c r="Z533" s="22"/>
      <c r="AA533" s="22"/>
      <c r="AB533" s="22"/>
      <c r="AC533" s="22"/>
      <c r="AD533" s="22"/>
      <c r="AE533" s="22"/>
      <c r="AF533" s="22"/>
      <c r="AG533" s="22"/>
      <c r="AH533" s="22"/>
      <c r="AI533" s="24"/>
      <c r="AJ533" s="22"/>
      <c r="AK533" s="22"/>
      <c r="AL533" s="22"/>
    </row>
    <row r="534" spans="1:38" ht="14.25" customHeight="1" x14ac:dyDescent="0.35">
      <c r="A534" s="22"/>
      <c r="B534" s="22"/>
      <c r="C534" s="23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4"/>
      <c r="Z534" s="22"/>
      <c r="AA534" s="22"/>
      <c r="AB534" s="22"/>
      <c r="AC534" s="22"/>
      <c r="AD534" s="22"/>
      <c r="AE534" s="22"/>
      <c r="AF534" s="22"/>
      <c r="AG534" s="22"/>
      <c r="AH534" s="22"/>
      <c r="AI534" s="24"/>
      <c r="AJ534" s="22"/>
      <c r="AK534" s="22"/>
      <c r="AL534" s="22"/>
    </row>
    <row r="535" spans="1:38" ht="14.25" customHeight="1" x14ac:dyDescent="0.35">
      <c r="A535" s="22"/>
      <c r="B535" s="22"/>
      <c r="C535" s="23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4"/>
      <c r="Z535" s="22"/>
      <c r="AA535" s="22"/>
      <c r="AB535" s="22"/>
      <c r="AC535" s="22"/>
      <c r="AD535" s="22"/>
      <c r="AE535" s="22"/>
      <c r="AF535" s="22"/>
      <c r="AG535" s="22"/>
      <c r="AH535" s="22"/>
      <c r="AI535" s="24"/>
      <c r="AJ535" s="22"/>
      <c r="AK535" s="22"/>
      <c r="AL535" s="22"/>
    </row>
    <row r="536" spans="1:38" ht="14.25" customHeight="1" x14ac:dyDescent="0.35">
      <c r="A536" s="22"/>
      <c r="B536" s="22"/>
      <c r="C536" s="23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4"/>
      <c r="Z536" s="22"/>
      <c r="AA536" s="22"/>
      <c r="AB536" s="22"/>
      <c r="AC536" s="22"/>
      <c r="AD536" s="22"/>
      <c r="AE536" s="22"/>
      <c r="AF536" s="22"/>
      <c r="AG536" s="22"/>
      <c r="AH536" s="22"/>
      <c r="AI536" s="24"/>
      <c r="AJ536" s="22"/>
      <c r="AK536" s="22"/>
      <c r="AL536" s="22"/>
    </row>
    <row r="537" spans="1:38" ht="14.25" customHeight="1" x14ac:dyDescent="0.35">
      <c r="A537" s="22"/>
      <c r="B537" s="22"/>
      <c r="C537" s="23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4"/>
      <c r="Z537" s="22"/>
      <c r="AA537" s="22"/>
      <c r="AB537" s="22"/>
      <c r="AC537" s="22"/>
      <c r="AD537" s="22"/>
      <c r="AE537" s="22"/>
      <c r="AF537" s="22"/>
      <c r="AG537" s="22"/>
      <c r="AH537" s="22"/>
      <c r="AI537" s="24"/>
      <c r="AJ537" s="22"/>
      <c r="AK537" s="22"/>
      <c r="AL537" s="22"/>
    </row>
    <row r="538" spans="1:38" ht="14.25" customHeight="1" x14ac:dyDescent="0.35">
      <c r="A538" s="22"/>
      <c r="B538" s="22"/>
      <c r="C538" s="23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4"/>
      <c r="Z538" s="22"/>
      <c r="AA538" s="22"/>
      <c r="AB538" s="22"/>
      <c r="AC538" s="22"/>
      <c r="AD538" s="22"/>
      <c r="AE538" s="22"/>
      <c r="AF538" s="22"/>
      <c r="AG538" s="22"/>
      <c r="AH538" s="22"/>
      <c r="AI538" s="24"/>
      <c r="AJ538" s="22"/>
      <c r="AK538" s="22"/>
      <c r="AL538" s="22"/>
    </row>
    <row r="539" spans="1:38" ht="14.25" customHeight="1" x14ac:dyDescent="0.35">
      <c r="A539" s="22"/>
      <c r="B539" s="22"/>
      <c r="C539" s="23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4"/>
      <c r="Z539" s="22"/>
      <c r="AA539" s="22"/>
      <c r="AB539" s="22"/>
      <c r="AC539" s="22"/>
      <c r="AD539" s="22"/>
      <c r="AE539" s="22"/>
      <c r="AF539" s="22"/>
      <c r="AG539" s="22"/>
      <c r="AH539" s="22"/>
      <c r="AI539" s="24"/>
      <c r="AJ539" s="22"/>
      <c r="AK539" s="22"/>
      <c r="AL539" s="22"/>
    </row>
    <row r="540" spans="1:38" ht="14.25" customHeight="1" x14ac:dyDescent="0.35">
      <c r="A540" s="22"/>
      <c r="B540" s="22"/>
      <c r="C540" s="23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4"/>
      <c r="Z540" s="22"/>
      <c r="AA540" s="22"/>
      <c r="AB540" s="22"/>
      <c r="AC540" s="22"/>
      <c r="AD540" s="22"/>
      <c r="AE540" s="22"/>
      <c r="AF540" s="22"/>
      <c r="AG540" s="22"/>
      <c r="AH540" s="22"/>
      <c r="AI540" s="24"/>
      <c r="AJ540" s="22"/>
      <c r="AK540" s="22"/>
      <c r="AL540" s="22"/>
    </row>
    <row r="541" spans="1:38" ht="14.25" customHeight="1" x14ac:dyDescent="0.35">
      <c r="A541" s="22"/>
      <c r="B541" s="22"/>
      <c r="C541" s="23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4"/>
      <c r="Z541" s="22"/>
      <c r="AA541" s="22"/>
      <c r="AB541" s="22"/>
      <c r="AC541" s="22"/>
      <c r="AD541" s="22"/>
      <c r="AE541" s="22"/>
      <c r="AF541" s="22"/>
      <c r="AG541" s="22"/>
      <c r="AH541" s="22"/>
      <c r="AI541" s="24"/>
      <c r="AJ541" s="22"/>
      <c r="AK541" s="22"/>
      <c r="AL541" s="22"/>
    </row>
    <row r="542" spans="1:38" ht="14.25" customHeight="1" x14ac:dyDescent="0.35">
      <c r="A542" s="22"/>
      <c r="B542" s="22"/>
      <c r="C542" s="23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4"/>
      <c r="Z542" s="22"/>
      <c r="AA542" s="22"/>
      <c r="AB542" s="22"/>
      <c r="AC542" s="22"/>
      <c r="AD542" s="22"/>
      <c r="AE542" s="22"/>
      <c r="AF542" s="22"/>
      <c r="AG542" s="22"/>
      <c r="AH542" s="22"/>
      <c r="AI542" s="24"/>
      <c r="AJ542" s="22"/>
      <c r="AK542" s="22"/>
      <c r="AL542" s="22"/>
    </row>
    <row r="543" spans="1:38" ht="14.25" customHeight="1" x14ac:dyDescent="0.35">
      <c r="A543" s="22"/>
      <c r="B543" s="22"/>
      <c r="C543" s="23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4"/>
      <c r="Z543" s="22"/>
      <c r="AA543" s="22"/>
      <c r="AB543" s="22"/>
      <c r="AC543" s="22"/>
      <c r="AD543" s="22"/>
      <c r="AE543" s="22"/>
      <c r="AF543" s="22"/>
      <c r="AG543" s="22"/>
      <c r="AH543" s="22"/>
      <c r="AI543" s="24"/>
      <c r="AJ543" s="22"/>
      <c r="AK543" s="22"/>
      <c r="AL543" s="22"/>
    </row>
    <row r="544" spans="1:38" ht="14.25" customHeight="1" x14ac:dyDescent="0.35">
      <c r="A544" s="22"/>
      <c r="B544" s="22"/>
      <c r="C544" s="23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4"/>
      <c r="Z544" s="22"/>
      <c r="AA544" s="22"/>
      <c r="AB544" s="22"/>
      <c r="AC544" s="22"/>
      <c r="AD544" s="22"/>
      <c r="AE544" s="22"/>
      <c r="AF544" s="22"/>
      <c r="AG544" s="22"/>
      <c r="AH544" s="22"/>
      <c r="AI544" s="24"/>
      <c r="AJ544" s="22"/>
      <c r="AK544" s="22"/>
      <c r="AL544" s="22"/>
    </row>
    <row r="545" spans="1:38" ht="14.25" customHeight="1" x14ac:dyDescent="0.35">
      <c r="A545" s="22"/>
      <c r="B545" s="22"/>
      <c r="C545" s="23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4"/>
      <c r="Z545" s="22"/>
      <c r="AA545" s="22"/>
      <c r="AB545" s="22"/>
      <c r="AC545" s="22"/>
      <c r="AD545" s="22"/>
      <c r="AE545" s="22"/>
      <c r="AF545" s="22"/>
      <c r="AG545" s="22"/>
      <c r="AH545" s="22"/>
      <c r="AI545" s="24"/>
      <c r="AJ545" s="22"/>
      <c r="AK545" s="22"/>
      <c r="AL545" s="22"/>
    </row>
    <row r="546" spans="1:38" ht="14.25" customHeight="1" x14ac:dyDescent="0.35">
      <c r="A546" s="22"/>
      <c r="B546" s="22"/>
      <c r="C546" s="23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4"/>
      <c r="Z546" s="22"/>
      <c r="AA546" s="22"/>
      <c r="AB546" s="22"/>
      <c r="AC546" s="22"/>
      <c r="AD546" s="22"/>
      <c r="AE546" s="22"/>
      <c r="AF546" s="22"/>
      <c r="AG546" s="22"/>
      <c r="AH546" s="22"/>
      <c r="AI546" s="24"/>
      <c r="AJ546" s="22"/>
      <c r="AK546" s="22"/>
      <c r="AL546" s="22"/>
    </row>
    <row r="547" spans="1:38" ht="14.25" customHeight="1" x14ac:dyDescent="0.35">
      <c r="A547" s="22"/>
      <c r="B547" s="22"/>
      <c r="C547" s="23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4"/>
      <c r="Z547" s="22"/>
      <c r="AA547" s="22"/>
      <c r="AB547" s="22"/>
      <c r="AC547" s="22"/>
      <c r="AD547" s="22"/>
      <c r="AE547" s="22"/>
      <c r="AF547" s="22"/>
      <c r="AG547" s="22"/>
      <c r="AH547" s="22"/>
      <c r="AI547" s="24"/>
      <c r="AJ547" s="22"/>
      <c r="AK547" s="22"/>
      <c r="AL547" s="22"/>
    </row>
    <row r="548" spans="1:38" ht="14.25" customHeight="1" x14ac:dyDescent="0.35">
      <c r="A548" s="22"/>
      <c r="B548" s="22"/>
      <c r="C548" s="23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4"/>
      <c r="Z548" s="22"/>
      <c r="AA548" s="22"/>
      <c r="AB548" s="22"/>
      <c r="AC548" s="22"/>
      <c r="AD548" s="22"/>
      <c r="AE548" s="22"/>
      <c r="AF548" s="22"/>
      <c r="AG548" s="22"/>
      <c r="AH548" s="22"/>
      <c r="AI548" s="24"/>
      <c r="AJ548" s="22"/>
      <c r="AK548" s="22"/>
      <c r="AL548" s="22"/>
    </row>
    <row r="549" spans="1:38" ht="14.25" customHeight="1" x14ac:dyDescent="0.35">
      <c r="A549" s="22"/>
      <c r="B549" s="22"/>
      <c r="C549" s="23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4"/>
      <c r="Z549" s="22"/>
      <c r="AA549" s="22"/>
      <c r="AB549" s="22"/>
      <c r="AC549" s="22"/>
      <c r="AD549" s="22"/>
      <c r="AE549" s="22"/>
      <c r="AF549" s="22"/>
      <c r="AG549" s="22"/>
      <c r="AH549" s="22"/>
      <c r="AI549" s="24"/>
      <c r="AJ549" s="22"/>
      <c r="AK549" s="22"/>
      <c r="AL549" s="22"/>
    </row>
    <row r="550" spans="1:38" ht="14.25" customHeight="1" x14ac:dyDescent="0.35">
      <c r="A550" s="22"/>
      <c r="B550" s="22"/>
      <c r="C550" s="23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4"/>
      <c r="Z550" s="22"/>
      <c r="AA550" s="22"/>
      <c r="AB550" s="22"/>
      <c r="AC550" s="22"/>
      <c r="AD550" s="22"/>
      <c r="AE550" s="22"/>
      <c r="AF550" s="22"/>
      <c r="AG550" s="22"/>
      <c r="AH550" s="22"/>
      <c r="AI550" s="24"/>
      <c r="AJ550" s="22"/>
      <c r="AK550" s="22"/>
      <c r="AL550" s="22"/>
    </row>
    <row r="551" spans="1:38" ht="14.25" customHeight="1" x14ac:dyDescent="0.35">
      <c r="A551" s="22"/>
      <c r="B551" s="22"/>
      <c r="C551" s="23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4"/>
      <c r="Z551" s="22"/>
      <c r="AA551" s="22"/>
      <c r="AB551" s="22"/>
      <c r="AC551" s="22"/>
      <c r="AD551" s="22"/>
      <c r="AE551" s="22"/>
      <c r="AF551" s="22"/>
      <c r="AG551" s="22"/>
      <c r="AH551" s="22"/>
      <c r="AI551" s="24"/>
      <c r="AJ551" s="22"/>
      <c r="AK551" s="22"/>
      <c r="AL551" s="22"/>
    </row>
    <row r="552" spans="1:38" ht="14.25" customHeight="1" x14ac:dyDescent="0.35">
      <c r="A552" s="22"/>
      <c r="B552" s="22"/>
      <c r="C552" s="23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4"/>
      <c r="Z552" s="22"/>
      <c r="AA552" s="22"/>
      <c r="AB552" s="22"/>
      <c r="AC552" s="22"/>
      <c r="AD552" s="22"/>
      <c r="AE552" s="22"/>
      <c r="AF552" s="22"/>
      <c r="AG552" s="22"/>
      <c r="AH552" s="22"/>
      <c r="AI552" s="24"/>
      <c r="AJ552" s="22"/>
      <c r="AK552" s="22"/>
      <c r="AL552" s="22"/>
    </row>
    <row r="553" spans="1:38" ht="14.25" customHeight="1" x14ac:dyDescent="0.35">
      <c r="A553" s="22"/>
      <c r="B553" s="22"/>
      <c r="C553" s="23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4"/>
      <c r="Z553" s="22"/>
      <c r="AA553" s="22"/>
      <c r="AB553" s="22"/>
      <c r="AC553" s="22"/>
      <c r="AD553" s="22"/>
      <c r="AE553" s="22"/>
      <c r="AF553" s="22"/>
      <c r="AG553" s="22"/>
      <c r="AH553" s="22"/>
      <c r="AI553" s="24"/>
      <c r="AJ553" s="22"/>
      <c r="AK553" s="22"/>
      <c r="AL553" s="22"/>
    </row>
    <row r="554" spans="1:38" ht="14.25" customHeight="1" x14ac:dyDescent="0.35">
      <c r="A554" s="22"/>
      <c r="B554" s="22"/>
      <c r="C554" s="23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4"/>
      <c r="Z554" s="22"/>
      <c r="AA554" s="22"/>
      <c r="AB554" s="22"/>
      <c r="AC554" s="22"/>
      <c r="AD554" s="22"/>
      <c r="AE554" s="22"/>
      <c r="AF554" s="22"/>
      <c r="AG554" s="22"/>
      <c r="AH554" s="22"/>
      <c r="AI554" s="24"/>
      <c r="AJ554" s="22"/>
      <c r="AK554" s="22"/>
      <c r="AL554" s="22"/>
    </row>
    <row r="555" spans="1:38" ht="14.25" customHeight="1" x14ac:dyDescent="0.35">
      <c r="A555" s="22"/>
      <c r="B555" s="22"/>
      <c r="C555" s="23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4"/>
      <c r="Z555" s="22"/>
      <c r="AA555" s="22"/>
      <c r="AB555" s="22"/>
      <c r="AC555" s="22"/>
      <c r="AD555" s="22"/>
      <c r="AE555" s="22"/>
      <c r="AF555" s="22"/>
      <c r="AG555" s="22"/>
      <c r="AH555" s="22"/>
      <c r="AI555" s="24"/>
      <c r="AJ555" s="22"/>
      <c r="AK555" s="22"/>
      <c r="AL555" s="22"/>
    </row>
    <row r="556" spans="1:38" ht="14.25" customHeight="1" x14ac:dyDescent="0.35">
      <c r="A556" s="22"/>
      <c r="B556" s="22"/>
      <c r="C556" s="23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4"/>
      <c r="Z556" s="22"/>
      <c r="AA556" s="22"/>
      <c r="AB556" s="22"/>
      <c r="AC556" s="22"/>
      <c r="AD556" s="22"/>
      <c r="AE556" s="22"/>
      <c r="AF556" s="22"/>
      <c r="AG556" s="22"/>
      <c r="AH556" s="22"/>
      <c r="AI556" s="24"/>
      <c r="AJ556" s="22"/>
      <c r="AK556" s="22"/>
      <c r="AL556" s="22"/>
    </row>
    <row r="557" spans="1:38" ht="14.25" customHeight="1" x14ac:dyDescent="0.35">
      <c r="A557" s="22"/>
      <c r="B557" s="22"/>
      <c r="C557" s="23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4"/>
      <c r="Z557" s="22"/>
      <c r="AA557" s="22"/>
      <c r="AB557" s="22"/>
      <c r="AC557" s="22"/>
      <c r="AD557" s="22"/>
      <c r="AE557" s="22"/>
      <c r="AF557" s="22"/>
      <c r="AG557" s="22"/>
      <c r="AH557" s="22"/>
      <c r="AI557" s="24"/>
      <c r="AJ557" s="22"/>
      <c r="AK557" s="22"/>
      <c r="AL557" s="22"/>
    </row>
    <row r="558" spans="1:38" ht="14.25" customHeight="1" x14ac:dyDescent="0.35">
      <c r="A558" s="22"/>
      <c r="B558" s="22"/>
      <c r="C558" s="23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4"/>
      <c r="Z558" s="22"/>
      <c r="AA558" s="22"/>
      <c r="AB558" s="22"/>
      <c r="AC558" s="22"/>
      <c r="AD558" s="22"/>
      <c r="AE558" s="22"/>
      <c r="AF558" s="22"/>
      <c r="AG558" s="22"/>
      <c r="AH558" s="22"/>
      <c r="AI558" s="24"/>
      <c r="AJ558" s="22"/>
      <c r="AK558" s="22"/>
      <c r="AL558" s="22"/>
    </row>
    <row r="559" spans="1:38" ht="14.25" customHeight="1" x14ac:dyDescent="0.35">
      <c r="A559" s="22"/>
      <c r="B559" s="22"/>
      <c r="C559" s="23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4"/>
      <c r="Z559" s="22"/>
      <c r="AA559" s="22"/>
      <c r="AB559" s="22"/>
      <c r="AC559" s="22"/>
      <c r="AD559" s="22"/>
      <c r="AE559" s="22"/>
      <c r="AF559" s="22"/>
      <c r="AG559" s="22"/>
      <c r="AH559" s="22"/>
      <c r="AI559" s="24"/>
      <c r="AJ559" s="22"/>
      <c r="AK559" s="22"/>
      <c r="AL559" s="22"/>
    </row>
    <row r="560" spans="1:38" ht="14.25" customHeight="1" x14ac:dyDescent="0.35">
      <c r="A560" s="22"/>
      <c r="B560" s="22"/>
      <c r="C560" s="23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4"/>
      <c r="Z560" s="22"/>
      <c r="AA560" s="22"/>
      <c r="AB560" s="22"/>
      <c r="AC560" s="22"/>
      <c r="AD560" s="22"/>
      <c r="AE560" s="22"/>
      <c r="AF560" s="22"/>
      <c r="AG560" s="22"/>
      <c r="AH560" s="22"/>
      <c r="AI560" s="24"/>
      <c r="AJ560" s="22"/>
      <c r="AK560" s="22"/>
      <c r="AL560" s="22"/>
    </row>
    <row r="561" spans="1:38" ht="14.25" customHeight="1" x14ac:dyDescent="0.35">
      <c r="A561" s="22"/>
      <c r="B561" s="22"/>
      <c r="C561" s="23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4"/>
      <c r="Z561" s="22"/>
      <c r="AA561" s="22"/>
      <c r="AB561" s="22"/>
      <c r="AC561" s="22"/>
      <c r="AD561" s="22"/>
      <c r="AE561" s="22"/>
      <c r="AF561" s="22"/>
      <c r="AG561" s="22"/>
      <c r="AH561" s="22"/>
      <c r="AI561" s="24"/>
      <c r="AJ561" s="22"/>
      <c r="AK561" s="22"/>
      <c r="AL561" s="22"/>
    </row>
    <row r="562" spans="1:38" ht="14.25" customHeight="1" x14ac:dyDescent="0.35">
      <c r="A562" s="22"/>
      <c r="B562" s="22"/>
      <c r="C562" s="23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4"/>
      <c r="Z562" s="22"/>
      <c r="AA562" s="22"/>
      <c r="AB562" s="22"/>
      <c r="AC562" s="22"/>
      <c r="AD562" s="22"/>
      <c r="AE562" s="22"/>
      <c r="AF562" s="22"/>
      <c r="AG562" s="22"/>
      <c r="AH562" s="22"/>
      <c r="AI562" s="24"/>
      <c r="AJ562" s="22"/>
      <c r="AK562" s="22"/>
      <c r="AL562" s="22"/>
    </row>
    <row r="563" spans="1:38" ht="14.25" customHeight="1" x14ac:dyDescent="0.35">
      <c r="A563" s="22"/>
      <c r="B563" s="22"/>
      <c r="C563" s="23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4"/>
      <c r="Z563" s="22"/>
      <c r="AA563" s="22"/>
      <c r="AB563" s="22"/>
      <c r="AC563" s="22"/>
      <c r="AD563" s="22"/>
      <c r="AE563" s="22"/>
      <c r="AF563" s="22"/>
      <c r="AG563" s="22"/>
      <c r="AH563" s="22"/>
      <c r="AI563" s="24"/>
      <c r="AJ563" s="22"/>
      <c r="AK563" s="22"/>
      <c r="AL563" s="22"/>
    </row>
    <row r="564" spans="1:38" ht="14.25" customHeight="1" x14ac:dyDescent="0.35">
      <c r="A564" s="22"/>
      <c r="B564" s="22"/>
      <c r="C564" s="23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4"/>
      <c r="Z564" s="22"/>
      <c r="AA564" s="22"/>
      <c r="AB564" s="22"/>
      <c r="AC564" s="22"/>
      <c r="AD564" s="22"/>
      <c r="AE564" s="22"/>
      <c r="AF564" s="22"/>
      <c r="AG564" s="22"/>
      <c r="AH564" s="22"/>
      <c r="AI564" s="24"/>
      <c r="AJ564" s="22"/>
      <c r="AK564" s="22"/>
      <c r="AL564" s="22"/>
    </row>
    <row r="565" spans="1:38" ht="14.25" customHeight="1" x14ac:dyDescent="0.35">
      <c r="A565" s="22"/>
      <c r="B565" s="22"/>
      <c r="C565" s="23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4"/>
      <c r="Z565" s="22"/>
      <c r="AA565" s="22"/>
      <c r="AB565" s="22"/>
      <c r="AC565" s="22"/>
      <c r="AD565" s="22"/>
      <c r="AE565" s="22"/>
      <c r="AF565" s="22"/>
      <c r="AG565" s="22"/>
      <c r="AH565" s="22"/>
      <c r="AI565" s="24"/>
      <c r="AJ565" s="22"/>
      <c r="AK565" s="22"/>
      <c r="AL565" s="22"/>
    </row>
    <row r="566" spans="1:38" ht="14.25" customHeight="1" x14ac:dyDescent="0.35">
      <c r="A566" s="22"/>
      <c r="B566" s="22"/>
      <c r="C566" s="23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4"/>
      <c r="Z566" s="22"/>
      <c r="AA566" s="22"/>
      <c r="AB566" s="22"/>
      <c r="AC566" s="22"/>
      <c r="AD566" s="22"/>
      <c r="AE566" s="22"/>
      <c r="AF566" s="22"/>
      <c r="AG566" s="22"/>
      <c r="AH566" s="22"/>
      <c r="AI566" s="24"/>
      <c r="AJ566" s="22"/>
      <c r="AK566" s="22"/>
      <c r="AL566" s="22"/>
    </row>
    <row r="567" spans="1:38" ht="14.25" customHeight="1" x14ac:dyDescent="0.35">
      <c r="A567" s="22"/>
      <c r="B567" s="22"/>
      <c r="C567" s="23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4"/>
      <c r="Z567" s="22"/>
      <c r="AA567" s="22"/>
      <c r="AB567" s="22"/>
      <c r="AC567" s="22"/>
      <c r="AD567" s="22"/>
      <c r="AE567" s="22"/>
      <c r="AF567" s="22"/>
      <c r="AG567" s="22"/>
      <c r="AH567" s="22"/>
      <c r="AI567" s="24"/>
      <c r="AJ567" s="22"/>
      <c r="AK567" s="22"/>
      <c r="AL567" s="22"/>
    </row>
    <row r="568" spans="1:38" ht="14.25" customHeight="1" x14ac:dyDescent="0.35">
      <c r="A568" s="22"/>
      <c r="B568" s="22"/>
      <c r="C568" s="23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4"/>
      <c r="Z568" s="22"/>
      <c r="AA568" s="22"/>
      <c r="AB568" s="22"/>
      <c r="AC568" s="22"/>
      <c r="AD568" s="22"/>
      <c r="AE568" s="22"/>
      <c r="AF568" s="22"/>
      <c r="AG568" s="22"/>
      <c r="AH568" s="22"/>
      <c r="AI568" s="24"/>
      <c r="AJ568" s="22"/>
      <c r="AK568" s="22"/>
      <c r="AL568" s="22"/>
    </row>
    <row r="569" spans="1:38" ht="14.25" customHeight="1" x14ac:dyDescent="0.35">
      <c r="A569" s="22"/>
      <c r="B569" s="22"/>
      <c r="C569" s="23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4"/>
      <c r="Z569" s="22"/>
      <c r="AA569" s="22"/>
      <c r="AB569" s="22"/>
      <c r="AC569" s="22"/>
      <c r="AD569" s="22"/>
      <c r="AE569" s="22"/>
      <c r="AF569" s="22"/>
      <c r="AG569" s="22"/>
      <c r="AH569" s="22"/>
      <c r="AI569" s="24"/>
      <c r="AJ569" s="22"/>
      <c r="AK569" s="22"/>
      <c r="AL569" s="22"/>
    </row>
    <row r="570" spans="1:38" ht="14.25" customHeight="1" x14ac:dyDescent="0.35">
      <c r="A570" s="22"/>
      <c r="B570" s="22"/>
      <c r="C570" s="23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4"/>
      <c r="Z570" s="22"/>
      <c r="AA570" s="22"/>
      <c r="AB570" s="22"/>
      <c r="AC570" s="22"/>
      <c r="AD570" s="22"/>
      <c r="AE570" s="22"/>
      <c r="AF570" s="22"/>
      <c r="AG570" s="22"/>
      <c r="AH570" s="22"/>
      <c r="AI570" s="24"/>
      <c r="AJ570" s="22"/>
      <c r="AK570" s="22"/>
      <c r="AL570" s="22"/>
    </row>
    <row r="571" spans="1:38" ht="14.25" customHeight="1" x14ac:dyDescent="0.35">
      <c r="A571" s="22"/>
      <c r="B571" s="22"/>
      <c r="C571" s="23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4"/>
      <c r="Z571" s="22"/>
      <c r="AA571" s="22"/>
      <c r="AB571" s="22"/>
      <c r="AC571" s="22"/>
      <c r="AD571" s="22"/>
      <c r="AE571" s="22"/>
      <c r="AF571" s="22"/>
      <c r="AG571" s="22"/>
      <c r="AH571" s="22"/>
      <c r="AI571" s="24"/>
      <c r="AJ571" s="22"/>
      <c r="AK571" s="22"/>
      <c r="AL571" s="22"/>
    </row>
    <row r="572" spans="1:38" ht="14.25" customHeight="1" x14ac:dyDescent="0.35">
      <c r="A572" s="22"/>
      <c r="B572" s="22"/>
      <c r="C572" s="23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4"/>
      <c r="Z572" s="22"/>
      <c r="AA572" s="22"/>
      <c r="AB572" s="22"/>
      <c r="AC572" s="22"/>
      <c r="AD572" s="22"/>
      <c r="AE572" s="22"/>
      <c r="AF572" s="22"/>
      <c r="AG572" s="22"/>
      <c r="AH572" s="22"/>
      <c r="AI572" s="24"/>
      <c r="AJ572" s="22"/>
      <c r="AK572" s="22"/>
      <c r="AL572" s="22"/>
    </row>
    <row r="573" spans="1:38" ht="14.25" customHeight="1" x14ac:dyDescent="0.35">
      <c r="A573" s="22"/>
      <c r="B573" s="22"/>
      <c r="C573" s="23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4"/>
      <c r="Z573" s="22"/>
      <c r="AA573" s="22"/>
      <c r="AB573" s="22"/>
      <c r="AC573" s="22"/>
      <c r="AD573" s="22"/>
      <c r="AE573" s="22"/>
      <c r="AF573" s="22"/>
      <c r="AG573" s="22"/>
      <c r="AH573" s="22"/>
      <c r="AI573" s="24"/>
      <c r="AJ573" s="22"/>
      <c r="AK573" s="22"/>
      <c r="AL573" s="22"/>
    </row>
    <row r="574" spans="1:38" ht="14.25" customHeight="1" x14ac:dyDescent="0.35">
      <c r="A574" s="22"/>
      <c r="B574" s="22"/>
      <c r="C574" s="23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4"/>
      <c r="Z574" s="22"/>
      <c r="AA574" s="22"/>
      <c r="AB574" s="22"/>
      <c r="AC574" s="22"/>
      <c r="AD574" s="22"/>
      <c r="AE574" s="22"/>
      <c r="AF574" s="22"/>
      <c r="AG574" s="22"/>
      <c r="AH574" s="22"/>
      <c r="AI574" s="24"/>
      <c r="AJ574" s="22"/>
      <c r="AK574" s="22"/>
      <c r="AL574" s="22"/>
    </row>
    <row r="575" spans="1:38" ht="14.25" customHeight="1" x14ac:dyDescent="0.35">
      <c r="A575" s="22"/>
      <c r="B575" s="22"/>
      <c r="C575" s="23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4"/>
      <c r="Z575" s="22"/>
      <c r="AA575" s="22"/>
      <c r="AB575" s="22"/>
      <c r="AC575" s="22"/>
      <c r="AD575" s="22"/>
      <c r="AE575" s="22"/>
      <c r="AF575" s="22"/>
      <c r="AG575" s="22"/>
      <c r="AH575" s="22"/>
      <c r="AI575" s="24"/>
      <c r="AJ575" s="22"/>
      <c r="AK575" s="22"/>
      <c r="AL575" s="22"/>
    </row>
    <row r="576" spans="1:38" ht="14.25" customHeight="1" x14ac:dyDescent="0.35">
      <c r="A576" s="22"/>
      <c r="B576" s="22"/>
      <c r="C576" s="23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4"/>
      <c r="Z576" s="22"/>
      <c r="AA576" s="22"/>
      <c r="AB576" s="22"/>
      <c r="AC576" s="22"/>
      <c r="AD576" s="22"/>
      <c r="AE576" s="22"/>
      <c r="AF576" s="22"/>
      <c r="AG576" s="22"/>
      <c r="AH576" s="22"/>
      <c r="AI576" s="24"/>
      <c r="AJ576" s="22"/>
      <c r="AK576" s="22"/>
      <c r="AL576" s="22"/>
    </row>
    <row r="577" spans="1:38" ht="14.25" customHeight="1" x14ac:dyDescent="0.35">
      <c r="A577" s="22"/>
      <c r="B577" s="22"/>
      <c r="C577" s="23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4"/>
      <c r="Z577" s="22"/>
      <c r="AA577" s="22"/>
      <c r="AB577" s="22"/>
      <c r="AC577" s="22"/>
      <c r="AD577" s="22"/>
      <c r="AE577" s="22"/>
      <c r="AF577" s="22"/>
      <c r="AG577" s="22"/>
      <c r="AH577" s="22"/>
      <c r="AI577" s="24"/>
      <c r="AJ577" s="22"/>
      <c r="AK577" s="22"/>
      <c r="AL577" s="22"/>
    </row>
    <row r="578" spans="1:38" ht="14.25" customHeight="1" x14ac:dyDescent="0.35">
      <c r="A578" s="22"/>
      <c r="B578" s="22"/>
      <c r="C578" s="23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4"/>
      <c r="Z578" s="22"/>
      <c r="AA578" s="22"/>
      <c r="AB578" s="22"/>
      <c r="AC578" s="22"/>
      <c r="AD578" s="22"/>
      <c r="AE578" s="22"/>
      <c r="AF578" s="22"/>
      <c r="AG578" s="22"/>
      <c r="AH578" s="22"/>
      <c r="AI578" s="24"/>
      <c r="AJ578" s="22"/>
      <c r="AK578" s="22"/>
      <c r="AL578" s="22"/>
    </row>
    <row r="579" spans="1:38" ht="14.25" customHeight="1" x14ac:dyDescent="0.35">
      <c r="A579" s="22"/>
      <c r="B579" s="22"/>
      <c r="C579" s="23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4"/>
      <c r="Z579" s="22"/>
      <c r="AA579" s="22"/>
      <c r="AB579" s="22"/>
      <c r="AC579" s="22"/>
      <c r="AD579" s="22"/>
      <c r="AE579" s="22"/>
      <c r="AF579" s="22"/>
      <c r="AG579" s="22"/>
      <c r="AH579" s="22"/>
      <c r="AI579" s="24"/>
      <c r="AJ579" s="22"/>
      <c r="AK579" s="22"/>
      <c r="AL579" s="22"/>
    </row>
    <row r="580" spans="1:38" ht="14.25" customHeight="1" x14ac:dyDescent="0.35">
      <c r="A580" s="22"/>
      <c r="B580" s="22"/>
      <c r="C580" s="23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4"/>
      <c r="Z580" s="22"/>
      <c r="AA580" s="22"/>
      <c r="AB580" s="22"/>
      <c r="AC580" s="22"/>
      <c r="AD580" s="22"/>
      <c r="AE580" s="22"/>
      <c r="AF580" s="22"/>
      <c r="AG580" s="22"/>
      <c r="AH580" s="22"/>
      <c r="AI580" s="24"/>
      <c r="AJ580" s="22"/>
      <c r="AK580" s="22"/>
      <c r="AL580" s="22"/>
    </row>
    <row r="581" spans="1:38" ht="14.25" customHeight="1" x14ac:dyDescent="0.35">
      <c r="A581" s="22"/>
      <c r="B581" s="22"/>
      <c r="C581" s="23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4"/>
      <c r="Z581" s="22"/>
      <c r="AA581" s="22"/>
      <c r="AB581" s="22"/>
      <c r="AC581" s="22"/>
      <c r="AD581" s="22"/>
      <c r="AE581" s="22"/>
      <c r="AF581" s="22"/>
      <c r="AG581" s="22"/>
      <c r="AH581" s="22"/>
      <c r="AI581" s="24"/>
      <c r="AJ581" s="22"/>
      <c r="AK581" s="22"/>
      <c r="AL581" s="22"/>
    </row>
    <row r="582" spans="1:38" ht="14.25" customHeight="1" x14ac:dyDescent="0.35">
      <c r="A582" s="22"/>
      <c r="B582" s="22"/>
      <c r="C582" s="23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4"/>
      <c r="Z582" s="22"/>
      <c r="AA582" s="22"/>
      <c r="AB582" s="22"/>
      <c r="AC582" s="22"/>
      <c r="AD582" s="22"/>
      <c r="AE582" s="22"/>
      <c r="AF582" s="22"/>
      <c r="AG582" s="22"/>
      <c r="AH582" s="22"/>
      <c r="AI582" s="24"/>
      <c r="AJ582" s="22"/>
      <c r="AK582" s="22"/>
      <c r="AL582" s="22"/>
    </row>
    <row r="583" spans="1:38" ht="14.25" customHeight="1" x14ac:dyDescent="0.35">
      <c r="A583" s="22"/>
      <c r="B583" s="22"/>
      <c r="C583" s="23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4"/>
      <c r="Z583" s="22"/>
      <c r="AA583" s="22"/>
      <c r="AB583" s="22"/>
      <c r="AC583" s="22"/>
      <c r="AD583" s="22"/>
      <c r="AE583" s="22"/>
      <c r="AF583" s="22"/>
      <c r="AG583" s="22"/>
      <c r="AH583" s="22"/>
      <c r="AI583" s="24"/>
      <c r="AJ583" s="22"/>
      <c r="AK583" s="22"/>
      <c r="AL583" s="22"/>
    </row>
    <row r="584" spans="1:38" ht="14.25" customHeight="1" x14ac:dyDescent="0.35">
      <c r="A584" s="22"/>
      <c r="B584" s="22"/>
      <c r="C584" s="23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4"/>
      <c r="Z584" s="22"/>
      <c r="AA584" s="22"/>
      <c r="AB584" s="22"/>
      <c r="AC584" s="22"/>
      <c r="AD584" s="22"/>
      <c r="AE584" s="22"/>
      <c r="AF584" s="22"/>
      <c r="AG584" s="22"/>
      <c r="AH584" s="22"/>
      <c r="AI584" s="24"/>
      <c r="AJ584" s="22"/>
      <c r="AK584" s="22"/>
      <c r="AL584" s="22"/>
    </row>
    <row r="585" spans="1:38" ht="14.25" customHeight="1" x14ac:dyDescent="0.35">
      <c r="A585" s="22"/>
      <c r="B585" s="22"/>
      <c r="C585" s="23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4"/>
      <c r="Z585" s="22"/>
      <c r="AA585" s="22"/>
      <c r="AB585" s="22"/>
      <c r="AC585" s="22"/>
      <c r="AD585" s="22"/>
      <c r="AE585" s="22"/>
      <c r="AF585" s="22"/>
      <c r="AG585" s="22"/>
      <c r="AH585" s="22"/>
      <c r="AI585" s="24"/>
      <c r="AJ585" s="22"/>
      <c r="AK585" s="22"/>
      <c r="AL585" s="22"/>
    </row>
    <row r="586" spans="1:38" ht="14.25" customHeight="1" x14ac:dyDescent="0.35">
      <c r="A586" s="22"/>
      <c r="B586" s="22"/>
      <c r="C586" s="23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4"/>
      <c r="Z586" s="22"/>
      <c r="AA586" s="22"/>
      <c r="AB586" s="22"/>
      <c r="AC586" s="22"/>
      <c r="AD586" s="22"/>
      <c r="AE586" s="22"/>
      <c r="AF586" s="22"/>
      <c r="AG586" s="22"/>
      <c r="AH586" s="22"/>
      <c r="AI586" s="24"/>
      <c r="AJ586" s="22"/>
      <c r="AK586" s="22"/>
      <c r="AL586" s="22"/>
    </row>
    <row r="587" spans="1:38" ht="14.25" customHeight="1" x14ac:dyDescent="0.35">
      <c r="A587" s="22"/>
      <c r="B587" s="22"/>
      <c r="C587" s="23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4"/>
      <c r="Z587" s="22"/>
      <c r="AA587" s="22"/>
      <c r="AB587" s="22"/>
      <c r="AC587" s="22"/>
      <c r="AD587" s="22"/>
      <c r="AE587" s="22"/>
      <c r="AF587" s="22"/>
      <c r="AG587" s="22"/>
      <c r="AH587" s="22"/>
      <c r="AI587" s="24"/>
      <c r="AJ587" s="22"/>
      <c r="AK587" s="22"/>
      <c r="AL587" s="22"/>
    </row>
    <row r="588" spans="1:38" ht="14.25" customHeight="1" x14ac:dyDescent="0.35">
      <c r="A588" s="22"/>
      <c r="B588" s="22"/>
      <c r="C588" s="23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4"/>
      <c r="Z588" s="22"/>
      <c r="AA588" s="22"/>
      <c r="AB588" s="22"/>
      <c r="AC588" s="22"/>
      <c r="AD588" s="22"/>
      <c r="AE588" s="22"/>
      <c r="AF588" s="22"/>
      <c r="AG588" s="22"/>
      <c r="AH588" s="22"/>
      <c r="AI588" s="24"/>
      <c r="AJ588" s="22"/>
      <c r="AK588" s="22"/>
      <c r="AL588" s="22"/>
    </row>
    <row r="589" spans="1:38" ht="14.25" customHeight="1" x14ac:dyDescent="0.35">
      <c r="A589" s="22"/>
      <c r="B589" s="22"/>
      <c r="C589" s="23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4"/>
      <c r="Z589" s="22"/>
      <c r="AA589" s="22"/>
      <c r="AB589" s="22"/>
      <c r="AC589" s="22"/>
      <c r="AD589" s="22"/>
      <c r="AE589" s="22"/>
      <c r="AF589" s="22"/>
      <c r="AG589" s="22"/>
      <c r="AH589" s="22"/>
      <c r="AI589" s="24"/>
      <c r="AJ589" s="22"/>
      <c r="AK589" s="22"/>
      <c r="AL589" s="22"/>
    </row>
    <row r="590" spans="1:38" ht="14.25" customHeight="1" x14ac:dyDescent="0.35">
      <c r="A590" s="22"/>
      <c r="B590" s="22"/>
      <c r="C590" s="23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4"/>
      <c r="Z590" s="22"/>
      <c r="AA590" s="22"/>
      <c r="AB590" s="22"/>
      <c r="AC590" s="22"/>
      <c r="AD590" s="22"/>
      <c r="AE590" s="22"/>
      <c r="AF590" s="22"/>
      <c r="AG590" s="22"/>
      <c r="AH590" s="22"/>
      <c r="AI590" s="24"/>
      <c r="AJ590" s="22"/>
      <c r="AK590" s="22"/>
      <c r="AL590" s="22"/>
    </row>
    <row r="591" spans="1:38" ht="14.25" customHeight="1" x14ac:dyDescent="0.35">
      <c r="A591" s="22"/>
      <c r="B591" s="22"/>
      <c r="C591" s="23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4"/>
      <c r="Z591" s="22"/>
      <c r="AA591" s="22"/>
      <c r="AB591" s="22"/>
      <c r="AC591" s="22"/>
      <c r="AD591" s="22"/>
      <c r="AE591" s="22"/>
      <c r="AF591" s="22"/>
      <c r="AG591" s="22"/>
      <c r="AH591" s="22"/>
      <c r="AI591" s="24"/>
      <c r="AJ591" s="22"/>
      <c r="AK591" s="22"/>
      <c r="AL591" s="22"/>
    </row>
    <row r="592" spans="1:38" ht="14.25" customHeight="1" x14ac:dyDescent="0.35">
      <c r="A592" s="22"/>
      <c r="B592" s="22"/>
      <c r="C592" s="23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4"/>
      <c r="Z592" s="22"/>
      <c r="AA592" s="22"/>
      <c r="AB592" s="22"/>
      <c r="AC592" s="22"/>
      <c r="AD592" s="22"/>
      <c r="AE592" s="22"/>
      <c r="AF592" s="22"/>
      <c r="AG592" s="22"/>
      <c r="AH592" s="22"/>
      <c r="AI592" s="24"/>
      <c r="AJ592" s="22"/>
      <c r="AK592" s="22"/>
      <c r="AL592" s="22"/>
    </row>
    <row r="593" spans="1:38" ht="14.25" customHeight="1" x14ac:dyDescent="0.35">
      <c r="A593" s="22"/>
      <c r="B593" s="22"/>
      <c r="C593" s="23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4"/>
      <c r="Z593" s="22"/>
      <c r="AA593" s="22"/>
      <c r="AB593" s="22"/>
      <c r="AC593" s="22"/>
      <c r="AD593" s="22"/>
      <c r="AE593" s="22"/>
      <c r="AF593" s="22"/>
      <c r="AG593" s="22"/>
      <c r="AH593" s="22"/>
      <c r="AI593" s="24"/>
      <c r="AJ593" s="22"/>
      <c r="AK593" s="22"/>
      <c r="AL593" s="22"/>
    </row>
    <row r="594" spans="1:38" ht="14.25" customHeight="1" x14ac:dyDescent="0.35">
      <c r="A594" s="22"/>
      <c r="B594" s="22"/>
      <c r="C594" s="23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4"/>
      <c r="Z594" s="22"/>
      <c r="AA594" s="22"/>
      <c r="AB594" s="22"/>
      <c r="AC594" s="22"/>
      <c r="AD594" s="22"/>
      <c r="AE594" s="22"/>
      <c r="AF594" s="22"/>
      <c r="AG594" s="22"/>
      <c r="AH594" s="22"/>
      <c r="AI594" s="24"/>
      <c r="AJ594" s="22"/>
      <c r="AK594" s="22"/>
      <c r="AL594" s="22"/>
    </row>
    <row r="595" spans="1:38" ht="14.25" customHeight="1" x14ac:dyDescent="0.35">
      <c r="A595" s="22"/>
      <c r="B595" s="22"/>
      <c r="C595" s="23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4"/>
      <c r="Z595" s="22"/>
      <c r="AA595" s="22"/>
      <c r="AB595" s="22"/>
      <c r="AC595" s="22"/>
      <c r="AD595" s="22"/>
      <c r="AE595" s="22"/>
      <c r="AF595" s="22"/>
      <c r="AG595" s="22"/>
      <c r="AH595" s="22"/>
      <c r="AI595" s="24"/>
      <c r="AJ595" s="22"/>
      <c r="AK595" s="22"/>
      <c r="AL595" s="22"/>
    </row>
    <row r="596" spans="1:38" ht="14.25" customHeight="1" x14ac:dyDescent="0.35">
      <c r="A596" s="22"/>
      <c r="B596" s="22"/>
      <c r="C596" s="23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4"/>
      <c r="Z596" s="22"/>
      <c r="AA596" s="22"/>
      <c r="AB596" s="22"/>
      <c r="AC596" s="22"/>
      <c r="AD596" s="22"/>
      <c r="AE596" s="22"/>
      <c r="AF596" s="22"/>
      <c r="AG596" s="22"/>
      <c r="AH596" s="22"/>
      <c r="AI596" s="24"/>
      <c r="AJ596" s="22"/>
      <c r="AK596" s="22"/>
      <c r="AL596" s="22"/>
    </row>
    <row r="597" spans="1:38" ht="14.25" customHeight="1" x14ac:dyDescent="0.35">
      <c r="A597" s="22"/>
      <c r="B597" s="22"/>
      <c r="C597" s="23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4"/>
      <c r="Z597" s="22"/>
      <c r="AA597" s="22"/>
      <c r="AB597" s="22"/>
      <c r="AC597" s="22"/>
      <c r="AD597" s="22"/>
      <c r="AE597" s="22"/>
      <c r="AF597" s="22"/>
      <c r="AG597" s="22"/>
      <c r="AH597" s="22"/>
      <c r="AI597" s="24"/>
      <c r="AJ597" s="22"/>
      <c r="AK597" s="22"/>
      <c r="AL597" s="22"/>
    </row>
    <row r="598" spans="1:38" ht="14.25" customHeight="1" x14ac:dyDescent="0.35">
      <c r="A598" s="22"/>
      <c r="B598" s="22"/>
      <c r="C598" s="23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4"/>
      <c r="Z598" s="22"/>
      <c r="AA598" s="22"/>
      <c r="AB598" s="22"/>
      <c r="AC598" s="22"/>
      <c r="AD598" s="22"/>
      <c r="AE598" s="22"/>
      <c r="AF598" s="22"/>
      <c r="AG598" s="22"/>
      <c r="AH598" s="22"/>
      <c r="AI598" s="24"/>
      <c r="AJ598" s="22"/>
      <c r="AK598" s="22"/>
      <c r="AL598" s="22"/>
    </row>
    <row r="599" spans="1:38" ht="14.25" customHeight="1" x14ac:dyDescent="0.35">
      <c r="A599" s="22"/>
      <c r="B599" s="22"/>
      <c r="C599" s="23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4"/>
      <c r="Z599" s="22"/>
      <c r="AA599" s="22"/>
      <c r="AB599" s="22"/>
      <c r="AC599" s="22"/>
      <c r="AD599" s="22"/>
      <c r="AE599" s="22"/>
      <c r="AF599" s="22"/>
      <c r="AG599" s="22"/>
      <c r="AH599" s="22"/>
      <c r="AI599" s="24"/>
      <c r="AJ599" s="22"/>
      <c r="AK599" s="22"/>
      <c r="AL599" s="22"/>
    </row>
    <row r="600" spans="1:38" ht="14.25" customHeight="1" x14ac:dyDescent="0.35">
      <c r="A600" s="22"/>
      <c r="B600" s="22"/>
      <c r="C600" s="23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4"/>
      <c r="Z600" s="22"/>
      <c r="AA600" s="22"/>
      <c r="AB600" s="22"/>
      <c r="AC600" s="22"/>
      <c r="AD600" s="22"/>
      <c r="AE600" s="22"/>
      <c r="AF600" s="22"/>
      <c r="AG600" s="22"/>
      <c r="AH600" s="22"/>
      <c r="AI600" s="24"/>
      <c r="AJ600" s="22"/>
      <c r="AK600" s="22"/>
      <c r="AL600" s="22"/>
    </row>
    <row r="601" spans="1:38" ht="14.25" customHeight="1" x14ac:dyDescent="0.35">
      <c r="A601" s="22"/>
      <c r="B601" s="22"/>
      <c r="C601" s="23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4"/>
      <c r="Z601" s="22"/>
      <c r="AA601" s="22"/>
      <c r="AB601" s="22"/>
      <c r="AC601" s="22"/>
      <c r="AD601" s="22"/>
      <c r="AE601" s="22"/>
      <c r="AF601" s="22"/>
      <c r="AG601" s="22"/>
      <c r="AH601" s="22"/>
      <c r="AI601" s="24"/>
      <c r="AJ601" s="22"/>
      <c r="AK601" s="22"/>
      <c r="AL601" s="22"/>
    </row>
    <row r="602" spans="1:38" ht="14.25" customHeight="1" x14ac:dyDescent="0.35">
      <c r="A602" s="22"/>
      <c r="B602" s="22"/>
      <c r="C602" s="23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4"/>
      <c r="Z602" s="22"/>
      <c r="AA602" s="22"/>
      <c r="AB602" s="22"/>
      <c r="AC602" s="22"/>
      <c r="AD602" s="22"/>
      <c r="AE602" s="22"/>
      <c r="AF602" s="22"/>
      <c r="AG602" s="22"/>
      <c r="AH602" s="22"/>
      <c r="AI602" s="24"/>
      <c r="AJ602" s="22"/>
      <c r="AK602" s="22"/>
      <c r="AL602" s="22"/>
    </row>
    <row r="603" spans="1:38" ht="14.25" customHeight="1" x14ac:dyDescent="0.35">
      <c r="A603" s="22"/>
      <c r="B603" s="22"/>
      <c r="C603" s="23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4"/>
      <c r="Z603" s="22"/>
      <c r="AA603" s="22"/>
      <c r="AB603" s="22"/>
      <c r="AC603" s="22"/>
      <c r="AD603" s="22"/>
      <c r="AE603" s="22"/>
      <c r="AF603" s="22"/>
      <c r="AG603" s="22"/>
      <c r="AH603" s="22"/>
      <c r="AI603" s="24"/>
      <c r="AJ603" s="22"/>
      <c r="AK603" s="22"/>
      <c r="AL603" s="22"/>
    </row>
    <row r="604" spans="1:38" ht="14.25" customHeight="1" x14ac:dyDescent="0.35">
      <c r="A604" s="22"/>
      <c r="B604" s="22"/>
      <c r="C604" s="23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4"/>
      <c r="Z604" s="22"/>
      <c r="AA604" s="22"/>
      <c r="AB604" s="22"/>
      <c r="AC604" s="22"/>
      <c r="AD604" s="22"/>
      <c r="AE604" s="22"/>
      <c r="AF604" s="22"/>
      <c r="AG604" s="22"/>
      <c r="AH604" s="22"/>
      <c r="AI604" s="24"/>
      <c r="AJ604" s="22"/>
      <c r="AK604" s="22"/>
      <c r="AL604" s="22"/>
    </row>
    <row r="605" spans="1:38" ht="14.25" customHeight="1" x14ac:dyDescent="0.35">
      <c r="A605" s="22"/>
      <c r="B605" s="22"/>
      <c r="C605" s="23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4"/>
      <c r="Z605" s="22"/>
      <c r="AA605" s="22"/>
      <c r="AB605" s="22"/>
      <c r="AC605" s="22"/>
      <c r="AD605" s="22"/>
      <c r="AE605" s="22"/>
      <c r="AF605" s="22"/>
      <c r="AG605" s="22"/>
      <c r="AH605" s="22"/>
      <c r="AI605" s="24"/>
      <c r="AJ605" s="22"/>
      <c r="AK605" s="22"/>
      <c r="AL605" s="22"/>
    </row>
    <row r="606" spans="1:38" ht="14.25" customHeight="1" x14ac:dyDescent="0.35">
      <c r="A606" s="22"/>
      <c r="B606" s="22"/>
      <c r="C606" s="23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4"/>
      <c r="Z606" s="22"/>
      <c r="AA606" s="22"/>
      <c r="AB606" s="22"/>
      <c r="AC606" s="22"/>
      <c r="AD606" s="22"/>
      <c r="AE606" s="22"/>
      <c r="AF606" s="22"/>
      <c r="AG606" s="22"/>
      <c r="AH606" s="22"/>
      <c r="AI606" s="24"/>
      <c r="AJ606" s="22"/>
      <c r="AK606" s="22"/>
      <c r="AL606" s="22"/>
    </row>
    <row r="607" spans="1:38" ht="14.25" customHeight="1" x14ac:dyDescent="0.35">
      <c r="A607" s="22"/>
      <c r="B607" s="22"/>
      <c r="C607" s="23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4"/>
      <c r="Z607" s="22"/>
      <c r="AA607" s="22"/>
      <c r="AB607" s="22"/>
      <c r="AC607" s="22"/>
      <c r="AD607" s="22"/>
      <c r="AE607" s="22"/>
      <c r="AF607" s="22"/>
      <c r="AG607" s="22"/>
      <c r="AH607" s="22"/>
      <c r="AI607" s="24"/>
      <c r="AJ607" s="22"/>
      <c r="AK607" s="22"/>
      <c r="AL607" s="22"/>
    </row>
    <row r="608" spans="1:38" ht="14.25" customHeight="1" x14ac:dyDescent="0.35">
      <c r="A608" s="22"/>
      <c r="B608" s="22"/>
      <c r="C608" s="23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4"/>
      <c r="Z608" s="22"/>
      <c r="AA608" s="22"/>
      <c r="AB608" s="22"/>
      <c r="AC608" s="22"/>
      <c r="AD608" s="22"/>
      <c r="AE608" s="22"/>
      <c r="AF608" s="22"/>
      <c r="AG608" s="22"/>
      <c r="AH608" s="22"/>
      <c r="AI608" s="24"/>
      <c r="AJ608" s="22"/>
      <c r="AK608" s="22"/>
      <c r="AL608" s="22"/>
    </row>
    <row r="609" spans="1:38" ht="14.25" customHeight="1" x14ac:dyDescent="0.35">
      <c r="A609" s="22"/>
      <c r="B609" s="22"/>
      <c r="C609" s="23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4"/>
      <c r="Z609" s="22"/>
      <c r="AA609" s="22"/>
      <c r="AB609" s="22"/>
      <c r="AC609" s="22"/>
      <c r="AD609" s="22"/>
      <c r="AE609" s="22"/>
      <c r="AF609" s="22"/>
      <c r="AG609" s="22"/>
      <c r="AH609" s="22"/>
      <c r="AI609" s="24"/>
      <c r="AJ609" s="22"/>
      <c r="AK609" s="22"/>
      <c r="AL609" s="22"/>
    </row>
    <row r="610" spans="1:38" ht="14.25" customHeight="1" x14ac:dyDescent="0.35">
      <c r="A610" s="22"/>
      <c r="B610" s="22"/>
      <c r="C610" s="23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4"/>
      <c r="Z610" s="22"/>
      <c r="AA610" s="22"/>
      <c r="AB610" s="22"/>
      <c r="AC610" s="22"/>
      <c r="AD610" s="22"/>
      <c r="AE610" s="22"/>
      <c r="AF610" s="22"/>
      <c r="AG610" s="22"/>
      <c r="AH610" s="22"/>
      <c r="AI610" s="24"/>
      <c r="AJ610" s="22"/>
      <c r="AK610" s="22"/>
      <c r="AL610" s="22"/>
    </row>
    <row r="611" spans="1:38" ht="14.25" customHeight="1" x14ac:dyDescent="0.35">
      <c r="A611" s="22"/>
      <c r="B611" s="22"/>
      <c r="C611" s="23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4"/>
      <c r="Z611" s="22"/>
      <c r="AA611" s="22"/>
      <c r="AB611" s="22"/>
      <c r="AC611" s="22"/>
      <c r="AD611" s="22"/>
      <c r="AE611" s="22"/>
      <c r="AF611" s="22"/>
      <c r="AG611" s="22"/>
      <c r="AH611" s="22"/>
      <c r="AI611" s="24"/>
      <c r="AJ611" s="22"/>
      <c r="AK611" s="22"/>
      <c r="AL611" s="22"/>
    </row>
    <row r="612" spans="1:38" ht="14.25" customHeight="1" x14ac:dyDescent="0.35">
      <c r="A612" s="22"/>
      <c r="B612" s="22"/>
      <c r="C612" s="23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4"/>
      <c r="Z612" s="22"/>
      <c r="AA612" s="22"/>
      <c r="AB612" s="22"/>
      <c r="AC612" s="22"/>
      <c r="AD612" s="22"/>
      <c r="AE612" s="22"/>
      <c r="AF612" s="22"/>
      <c r="AG612" s="22"/>
      <c r="AH612" s="22"/>
      <c r="AI612" s="24"/>
      <c r="AJ612" s="22"/>
      <c r="AK612" s="22"/>
      <c r="AL612" s="22"/>
    </row>
    <row r="613" spans="1:38" ht="14.25" customHeight="1" x14ac:dyDescent="0.35">
      <c r="A613" s="22"/>
      <c r="B613" s="22"/>
      <c r="C613" s="23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4"/>
      <c r="Z613" s="22"/>
      <c r="AA613" s="22"/>
      <c r="AB613" s="22"/>
      <c r="AC613" s="22"/>
      <c r="AD613" s="22"/>
      <c r="AE613" s="22"/>
      <c r="AF613" s="22"/>
      <c r="AG613" s="22"/>
      <c r="AH613" s="22"/>
      <c r="AI613" s="24"/>
      <c r="AJ613" s="22"/>
      <c r="AK613" s="22"/>
      <c r="AL613" s="22"/>
    </row>
    <row r="614" spans="1:38" ht="14.25" customHeight="1" x14ac:dyDescent="0.35">
      <c r="A614" s="22"/>
      <c r="B614" s="22"/>
      <c r="C614" s="23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4"/>
      <c r="Z614" s="22"/>
      <c r="AA614" s="22"/>
      <c r="AB614" s="22"/>
      <c r="AC614" s="22"/>
      <c r="AD614" s="22"/>
      <c r="AE614" s="22"/>
      <c r="AF614" s="22"/>
      <c r="AG614" s="22"/>
      <c r="AH614" s="22"/>
      <c r="AI614" s="24"/>
      <c r="AJ614" s="22"/>
      <c r="AK614" s="22"/>
      <c r="AL614" s="22"/>
    </row>
    <row r="615" spans="1:38" ht="14.25" customHeight="1" x14ac:dyDescent="0.35">
      <c r="A615" s="22"/>
      <c r="B615" s="22"/>
      <c r="C615" s="23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4"/>
      <c r="Z615" s="22"/>
      <c r="AA615" s="22"/>
      <c r="AB615" s="22"/>
      <c r="AC615" s="22"/>
      <c r="AD615" s="22"/>
      <c r="AE615" s="22"/>
      <c r="AF615" s="22"/>
      <c r="AG615" s="22"/>
      <c r="AH615" s="22"/>
      <c r="AI615" s="24"/>
      <c r="AJ615" s="22"/>
      <c r="AK615" s="22"/>
      <c r="AL615" s="22"/>
    </row>
    <row r="616" spans="1:38" ht="14.25" customHeight="1" x14ac:dyDescent="0.35">
      <c r="A616" s="22"/>
      <c r="B616" s="22"/>
      <c r="C616" s="23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4"/>
      <c r="Z616" s="22"/>
      <c r="AA616" s="22"/>
      <c r="AB616" s="22"/>
      <c r="AC616" s="22"/>
      <c r="AD616" s="22"/>
      <c r="AE616" s="22"/>
      <c r="AF616" s="22"/>
      <c r="AG616" s="22"/>
      <c r="AH616" s="22"/>
      <c r="AI616" s="24"/>
      <c r="AJ616" s="22"/>
      <c r="AK616" s="22"/>
      <c r="AL616" s="22"/>
    </row>
    <row r="617" spans="1:38" ht="14.25" customHeight="1" x14ac:dyDescent="0.35">
      <c r="A617" s="22"/>
      <c r="B617" s="22"/>
      <c r="C617" s="23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4"/>
      <c r="Z617" s="22"/>
      <c r="AA617" s="22"/>
      <c r="AB617" s="22"/>
      <c r="AC617" s="22"/>
      <c r="AD617" s="22"/>
      <c r="AE617" s="22"/>
      <c r="AF617" s="22"/>
      <c r="AG617" s="22"/>
      <c r="AH617" s="22"/>
      <c r="AI617" s="24"/>
      <c r="AJ617" s="22"/>
      <c r="AK617" s="22"/>
      <c r="AL617" s="22"/>
    </row>
    <row r="618" spans="1:38" ht="14.25" customHeight="1" x14ac:dyDescent="0.35">
      <c r="A618" s="22"/>
      <c r="B618" s="22"/>
      <c r="C618" s="23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4"/>
      <c r="Z618" s="22"/>
      <c r="AA618" s="22"/>
      <c r="AB618" s="22"/>
      <c r="AC618" s="22"/>
      <c r="AD618" s="22"/>
      <c r="AE618" s="22"/>
      <c r="AF618" s="22"/>
      <c r="AG618" s="22"/>
      <c r="AH618" s="22"/>
      <c r="AI618" s="24"/>
      <c r="AJ618" s="22"/>
      <c r="AK618" s="22"/>
      <c r="AL618" s="22"/>
    </row>
    <row r="619" spans="1:38" ht="14.25" customHeight="1" x14ac:dyDescent="0.35">
      <c r="A619" s="22"/>
      <c r="B619" s="22"/>
      <c r="C619" s="23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4"/>
      <c r="Z619" s="22"/>
      <c r="AA619" s="22"/>
      <c r="AB619" s="22"/>
      <c r="AC619" s="22"/>
      <c r="AD619" s="22"/>
      <c r="AE619" s="22"/>
      <c r="AF619" s="22"/>
      <c r="AG619" s="22"/>
      <c r="AH619" s="22"/>
      <c r="AI619" s="24"/>
      <c r="AJ619" s="22"/>
      <c r="AK619" s="22"/>
      <c r="AL619" s="22"/>
    </row>
    <row r="620" spans="1:38" ht="14.25" customHeight="1" x14ac:dyDescent="0.35">
      <c r="A620" s="22"/>
      <c r="B620" s="22"/>
      <c r="C620" s="23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4"/>
      <c r="Z620" s="22"/>
      <c r="AA620" s="22"/>
      <c r="AB620" s="22"/>
      <c r="AC620" s="22"/>
      <c r="AD620" s="22"/>
      <c r="AE620" s="22"/>
      <c r="AF620" s="22"/>
      <c r="AG620" s="22"/>
      <c r="AH620" s="22"/>
      <c r="AI620" s="24"/>
      <c r="AJ620" s="22"/>
      <c r="AK620" s="22"/>
      <c r="AL620" s="22"/>
    </row>
    <row r="621" spans="1:38" ht="14.25" customHeight="1" x14ac:dyDescent="0.35">
      <c r="A621" s="22"/>
      <c r="B621" s="22"/>
      <c r="C621" s="23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4"/>
      <c r="Z621" s="22"/>
      <c r="AA621" s="22"/>
      <c r="AB621" s="22"/>
      <c r="AC621" s="22"/>
      <c r="AD621" s="22"/>
      <c r="AE621" s="22"/>
      <c r="AF621" s="22"/>
      <c r="AG621" s="22"/>
      <c r="AH621" s="22"/>
      <c r="AI621" s="24"/>
      <c r="AJ621" s="22"/>
      <c r="AK621" s="22"/>
      <c r="AL621" s="22"/>
    </row>
    <row r="622" spans="1:38" ht="14.25" customHeight="1" x14ac:dyDescent="0.35">
      <c r="A622" s="22"/>
      <c r="B622" s="22"/>
      <c r="C622" s="23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4"/>
      <c r="Z622" s="22"/>
      <c r="AA622" s="22"/>
      <c r="AB622" s="22"/>
      <c r="AC622" s="22"/>
      <c r="AD622" s="22"/>
      <c r="AE622" s="22"/>
      <c r="AF622" s="22"/>
      <c r="AG622" s="22"/>
      <c r="AH622" s="22"/>
      <c r="AI622" s="24"/>
      <c r="AJ622" s="22"/>
      <c r="AK622" s="22"/>
      <c r="AL622" s="22"/>
    </row>
    <row r="623" spans="1:38" ht="14.25" customHeight="1" x14ac:dyDescent="0.35">
      <c r="A623" s="22"/>
      <c r="B623" s="22"/>
      <c r="C623" s="23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4"/>
      <c r="Z623" s="22"/>
      <c r="AA623" s="22"/>
      <c r="AB623" s="22"/>
      <c r="AC623" s="22"/>
      <c r="AD623" s="22"/>
      <c r="AE623" s="22"/>
      <c r="AF623" s="22"/>
      <c r="AG623" s="22"/>
      <c r="AH623" s="22"/>
      <c r="AI623" s="24"/>
      <c r="AJ623" s="22"/>
      <c r="AK623" s="22"/>
      <c r="AL623" s="22"/>
    </row>
    <row r="624" spans="1:38" ht="14.25" customHeight="1" x14ac:dyDescent="0.35">
      <c r="A624" s="22"/>
      <c r="B624" s="22"/>
      <c r="C624" s="23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4"/>
      <c r="Z624" s="22"/>
      <c r="AA624" s="22"/>
      <c r="AB624" s="22"/>
      <c r="AC624" s="22"/>
      <c r="AD624" s="22"/>
      <c r="AE624" s="22"/>
      <c r="AF624" s="22"/>
      <c r="AG624" s="22"/>
      <c r="AH624" s="22"/>
      <c r="AI624" s="24"/>
      <c r="AJ624" s="22"/>
      <c r="AK624" s="22"/>
      <c r="AL624" s="22"/>
    </row>
    <row r="625" spans="1:38" ht="14.25" customHeight="1" x14ac:dyDescent="0.35">
      <c r="A625" s="22"/>
      <c r="B625" s="22"/>
      <c r="C625" s="23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4"/>
      <c r="Z625" s="22"/>
      <c r="AA625" s="22"/>
      <c r="AB625" s="22"/>
      <c r="AC625" s="22"/>
      <c r="AD625" s="22"/>
      <c r="AE625" s="22"/>
      <c r="AF625" s="22"/>
      <c r="AG625" s="22"/>
      <c r="AH625" s="22"/>
      <c r="AI625" s="24"/>
      <c r="AJ625" s="22"/>
      <c r="AK625" s="22"/>
      <c r="AL625" s="22"/>
    </row>
    <row r="626" spans="1:38" ht="14.25" customHeight="1" x14ac:dyDescent="0.35">
      <c r="A626" s="22"/>
      <c r="B626" s="22"/>
      <c r="C626" s="23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4"/>
      <c r="Z626" s="22"/>
      <c r="AA626" s="22"/>
      <c r="AB626" s="22"/>
      <c r="AC626" s="22"/>
      <c r="AD626" s="22"/>
      <c r="AE626" s="22"/>
      <c r="AF626" s="22"/>
      <c r="AG626" s="22"/>
      <c r="AH626" s="22"/>
      <c r="AI626" s="24"/>
      <c r="AJ626" s="22"/>
      <c r="AK626" s="22"/>
      <c r="AL626" s="22"/>
    </row>
    <row r="627" spans="1:38" ht="14.25" customHeight="1" x14ac:dyDescent="0.35">
      <c r="A627" s="22"/>
      <c r="B627" s="22"/>
      <c r="C627" s="23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4"/>
      <c r="Z627" s="22"/>
      <c r="AA627" s="22"/>
      <c r="AB627" s="22"/>
      <c r="AC627" s="22"/>
      <c r="AD627" s="22"/>
      <c r="AE627" s="22"/>
      <c r="AF627" s="22"/>
      <c r="AG627" s="22"/>
      <c r="AH627" s="22"/>
      <c r="AI627" s="24"/>
      <c r="AJ627" s="22"/>
      <c r="AK627" s="22"/>
      <c r="AL627" s="22"/>
    </row>
    <row r="628" spans="1:38" ht="14.25" customHeight="1" x14ac:dyDescent="0.35">
      <c r="A628" s="22"/>
      <c r="B628" s="22"/>
      <c r="C628" s="23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4"/>
      <c r="Z628" s="22"/>
      <c r="AA628" s="22"/>
      <c r="AB628" s="22"/>
      <c r="AC628" s="22"/>
      <c r="AD628" s="22"/>
      <c r="AE628" s="22"/>
      <c r="AF628" s="22"/>
      <c r="AG628" s="22"/>
      <c r="AH628" s="22"/>
      <c r="AI628" s="24"/>
      <c r="AJ628" s="22"/>
      <c r="AK628" s="22"/>
      <c r="AL628" s="22"/>
    </row>
    <row r="629" spans="1:38" ht="14.25" customHeight="1" x14ac:dyDescent="0.35">
      <c r="A629" s="22"/>
      <c r="B629" s="22"/>
      <c r="C629" s="23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4"/>
      <c r="Z629" s="22"/>
      <c r="AA629" s="22"/>
      <c r="AB629" s="22"/>
      <c r="AC629" s="22"/>
      <c r="AD629" s="22"/>
      <c r="AE629" s="22"/>
      <c r="AF629" s="22"/>
      <c r="AG629" s="22"/>
      <c r="AH629" s="22"/>
      <c r="AI629" s="24"/>
      <c r="AJ629" s="22"/>
      <c r="AK629" s="22"/>
      <c r="AL629" s="22"/>
    </row>
    <row r="630" spans="1:38" ht="14.25" customHeight="1" x14ac:dyDescent="0.35">
      <c r="A630" s="22"/>
      <c r="B630" s="22"/>
      <c r="C630" s="23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4"/>
      <c r="Z630" s="22"/>
      <c r="AA630" s="22"/>
      <c r="AB630" s="22"/>
      <c r="AC630" s="22"/>
      <c r="AD630" s="22"/>
      <c r="AE630" s="22"/>
      <c r="AF630" s="22"/>
      <c r="AG630" s="22"/>
      <c r="AH630" s="22"/>
      <c r="AI630" s="24"/>
      <c r="AJ630" s="22"/>
      <c r="AK630" s="22"/>
      <c r="AL630" s="22"/>
    </row>
    <row r="631" spans="1:38" ht="14.25" customHeight="1" x14ac:dyDescent="0.35">
      <c r="A631" s="22"/>
      <c r="B631" s="22"/>
      <c r="C631" s="23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4"/>
      <c r="Z631" s="22"/>
      <c r="AA631" s="22"/>
      <c r="AB631" s="22"/>
      <c r="AC631" s="22"/>
      <c r="AD631" s="22"/>
      <c r="AE631" s="22"/>
      <c r="AF631" s="22"/>
      <c r="AG631" s="22"/>
      <c r="AH631" s="22"/>
      <c r="AI631" s="24"/>
      <c r="AJ631" s="22"/>
      <c r="AK631" s="22"/>
      <c r="AL631" s="22"/>
    </row>
    <row r="632" spans="1:38" ht="14.25" customHeight="1" x14ac:dyDescent="0.35">
      <c r="A632" s="22"/>
      <c r="B632" s="22"/>
      <c r="C632" s="23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4"/>
      <c r="Z632" s="22"/>
      <c r="AA632" s="22"/>
      <c r="AB632" s="22"/>
      <c r="AC632" s="22"/>
      <c r="AD632" s="22"/>
      <c r="AE632" s="22"/>
      <c r="AF632" s="22"/>
      <c r="AG632" s="22"/>
      <c r="AH632" s="22"/>
      <c r="AI632" s="24"/>
      <c r="AJ632" s="22"/>
      <c r="AK632" s="22"/>
      <c r="AL632" s="22"/>
    </row>
    <row r="633" spans="1:38" ht="14.25" customHeight="1" x14ac:dyDescent="0.35">
      <c r="A633" s="22"/>
      <c r="B633" s="22"/>
      <c r="C633" s="23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4"/>
      <c r="Z633" s="22"/>
      <c r="AA633" s="22"/>
      <c r="AB633" s="22"/>
      <c r="AC633" s="22"/>
      <c r="AD633" s="22"/>
      <c r="AE633" s="22"/>
      <c r="AF633" s="22"/>
      <c r="AG633" s="22"/>
      <c r="AH633" s="22"/>
      <c r="AI633" s="24"/>
      <c r="AJ633" s="22"/>
      <c r="AK633" s="22"/>
      <c r="AL633" s="22"/>
    </row>
    <row r="634" spans="1:38" ht="14.25" customHeight="1" x14ac:dyDescent="0.35">
      <c r="A634" s="22"/>
      <c r="B634" s="22"/>
      <c r="C634" s="23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4"/>
      <c r="Z634" s="22"/>
      <c r="AA634" s="22"/>
      <c r="AB634" s="22"/>
      <c r="AC634" s="22"/>
      <c r="AD634" s="22"/>
      <c r="AE634" s="22"/>
      <c r="AF634" s="22"/>
      <c r="AG634" s="22"/>
      <c r="AH634" s="22"/>
      <c r="AI634" s="24"/>
      <c r="AJ634" s="22"/>
      <c r="AK634" s="22"/>
      <c r="AL634" s="22"/>
    </row>
    <row r="635" spans="1:38" ht="14.25" customHeight="1" x14ac:dyDescent="0.35">
      <c r="A635" s="22"/>
      <c r="B635" s="22"/>
      <c r="C635" s="23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4"/>
      <c r="Z635" s="22"/>
      <c r="AA635" s="22"/>
      <c r="AB635" s="22"/>
      <c r="AC635" s="22"/>
      <c r="AD635" s="22"/>
      <c r="AE635" s="22"/>
      <c r="AF635" s="22"/>
      <c r="AG635" s="22"/>
      <c r="AH635" s="22"/>
      <c r="AI635" s="24"/>
      <c r="AJ635" s="22"/>
      <c r="AK635" s="22"/>
      <c r="AL635" s="22"/>
    </row>
    <row r="636" spans="1:38" ht="14.25" customHeight="1" x14ac:dyDescent="0.35">
      <c r="A636" s="22"/>
      <c r="B636" s="22"/>
      <c r="C636" s="23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4"/>
      <c r="Z636" s="22"/>
      <c r="AA636" s="22"/>
      <c r="AB636" s="22"/>
      <c r="AC636" s="22"/>
      <c r="AD636" s="22"/>
      <c r="AE636" s="22"/>
      <c r="AF636" s="22"/>
      <c r="AG636" s="22"/>
      <c r="AH636" s="22"/>
      <c r="AI636" s="24"/>
      <c r="AJ636" s="22"/>
      <c r="AK636" s="22"/>
      <c r="AL636" s="22"/>
    </row>
    <row r="637" spans="1:38" ht="14.25" customHeight="1" x14ac:dyDescent="0.35">
      <c r="A637" s="22"/>
      <c r="B637" s="22"/>
      <c r="C637" s="23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4"/>
      <c r="Z637" s="22"/>
      <c r="AA637" s="22"/>
      <c r="AB637" s="22"/>
      <c r="AC637" s="22"/>
      <c r="AD637" s="22"/>
      <c r="AE637" s="22"/>
      <c r="AF637" s="22"/>
      <c r="AG637" s="22"/>
      <c r="AH637" s="22"/>
      <c r="AI637" s="24"/>
      <c r="AJ637" s="22"/>
      <c r="AK637" s="22"/>
      <c r="AL637" s="22"/>
    </row>
    <row r="638" spans="1:38" ht="14.25" customHeight="1" x14ac:dyDescent="0.35">
      <c r="A638" s="22"/>
      <c r="B638" s="22"/>
      <c r="C638" s="23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4"/>
      <c r="Z638" s="22"/>
      <c r="AA638" s="22"/>
      <c r="AB638" s="22"/>
      <c r="AC638" s="22"/>
      <c r="AD638" s="22"/>
      <c r="AE638" s="22"/>
      <c r="AF638" s="22"/>
      <c r="AG638" s="22"/>
      <c r="AH638" s="22"/>
      <c r="AI638" s="24"/>
      <c r="AJ638" s="22"/>
      <c r="AK638" s="22"/>
      <c r="AL638" s="22"/>
    </row>
    <row r="639" spans="1:38" ht="14.25" customHeight="1" x14ac:dyDescent="0.35">
      <c r="A639" s="22"/>
      <c r="B639" s="22"/>
      <c r="C639" s="23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4"/>
      <c r="Z639" s="22"/>
      <c r="AA639" s="22"/>
      <c r="AB639" s="22"/>
      <c r="AC639" s="22"/>
      <c r="AD639" s="22"/>
      <c r="AE639" s="22"/>
      <c r="AF639" s="22"/>
      <c r="AG639" s="22"/>
      <c r="AH639" s="22"/>
      <c r="AI639" s="24"/>
      <c r="AJ639" s="22"/>
      <c r="AK639" s="22"/>
      <c r="AL639" s="22"/>
    </row>
    <row r="640" spans="1:38" ht="14.25" customHeight="1" x14ac:dyDescent="0.35">
      <c r="A640" s="22"/>
      <c r="B640" s="22"/>
      <c r="C640" s="23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4"/>
      <c r="Z640" s="22"/>
      <c r="AA640" s="22"/>
      <c r="AB640" s="22"/>
      <c r="AC640" s="22"/>
      <c r="AD640" s="22"/>
      <c r="AE640" s="22"/>
      <c r="AF640" s="22"/>
      <c r="AG640" s="22"/>
      <c r="AH640" s="22"/>
      <c r="AI640" s="24"/>
      <c r="AJ640" s="22"/>
      <c r="AK640" s="22"/>
      <c r="AL640" s="22"/>
    </row>
    <row r="641" spans="1:38" ht="14.25" customHeight="1" x14ac:dyDescent="0.35">
      <c r="A641" s="22"/>
      <c r="B641" s="22"/>
      <c r="C641" s="23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4"/>
      <c r="Z641" s="22"/>
      <c r="AA641" s="22"/>
      <c r="AB641" s="22"/>
      <c r="AC641" s="22"/>
      <c r="AD641" s="22"/>
      <c r="AE641" s="22"/>
      <c r="AF641" s="22"/>
      <c r="AG641" s="22"/>
      <c r="AH641" s="22"/>
      <c r="AI641" s="24"/>
      <c r="AJ641" s="22"/>
      <c r="AK641" s="22"/>
      <c r="AL641" s="22"/>
    </row>
    <row r="642" spans="1:38" ht="14.25" customHeight="1" x14ac:dyDescent="0.35">
      <c r="A642" s="22"/>
      <c r="B642" s="22"/>
      <c r="C642" s="23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4"/>
      <c r="Z642" s="22"/>
      <c r="AA642" s="22"/>
      <c r="AB642" s="22"/>
      <c r="AC642" s="22"/>
      <c r="AD642" s="22"/>
      <c r="AE642" s="22"/>
      <c r="AF642" s="22"/>
      <c r="AG642" s="22"/>
      <c r="AH642" s="22"/>
      <c r="AI642" s="24"/>
      <c r="AJ642" s="22"/>
      <c r="AK642" s="22"/>
      <c r="AL642" s="22"/>
    </row>
    <row r="643" spans="1:38" ht="14.25" customHeight="1" x14ac:dyDescent="0.35">
      <c r="A643" s="22"/>
      <c r="B643" s="22"/>
      <c r="C643" s="23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4"/>
      <c r="Z643" s="22"/>
      <c r="AA643" s="22"/>
      <c r="AB643" s="22"/>
      <c r="AC643" s="22"/>
      <c r="AD643" s="22"/>
      <c r="AE643" s="22"/>
      <c r="AF643" s="22"/>
      <c r="AG643" s="22"/>
      <c r="AH643" s="22"/>
      <c r="AI643" s="24"/>
      <c r="AJ643" s="22"/>
      <c r="AK643" s="22"/>
      <c r="AL643" s="22"/>
    </row>
    <row r="644" spans="1:38" ht="14.25" customHeight="1" x14ac:dyDescent="0.35">
      <c r="A644" s="22"/>
      <c r="B644" s="22"/>
      <c r="C644" s="23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4"/>
      <c r="Z644" s="22"/>
      <c r="AA644" s="22"/>
      <c r="AB644" s="22"/>
      <c r="AC644" s="22"/>
      <c r="AD644" s="22"/>
      <c r="AE644" s="22"/>
      <c r="AF644" s="22"/>
      <c r="AG644" s="22"/>
      <c r="AH644" s="22"/>
      <c r="AI644" s="24"/>
      <c r="AJ644" s="22"/>
      <c r="AK644" s="22"/>
      <c r="AL644" s="22"/>
    </row>
    <row r="645" spans="1:38" ht="14.25" customHeight="1" x14ac:dyDescent="0.35">
      <c r="A645" s="22"/>
      <c r="B645" s="22"/>
      <c r="C645" s="23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4"/>
      <c r="Z645" s="22"/>
      <c r="AA645" s="22"/>
      <c r="AB645" s="22"/>
      <c r="AC645" s="22"/>
      <c r="AD645" s="22"/>
      <c r="AE645" s="22"/>
      <c r="AF645" s="22"/>
      <c r="AG645" s="22"/>
      <c r="AH645" s="22"/>
      <c r="AI645" s="24"/>
      <c r="AJ645" s="22"/>
      <c r="AK645" s="22"/>
      <c r="AL645" s="22"/>
    </row>
    <row r="646" spans="1:38" ht="14.25" customHeight="1" x14ac:dyDescent="0.35">
      <c r="A646" s="22"/>
      <c r="B646" s="22"/>
      <c r="C646" s="23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4"/>
      <c r="Z646" s="22"/>
      <c r="AA646" s="22"/>
      <c r="AB646" s="22"/>
      <c r="AC646" s="22"/>
      <c r="AD646" s="22"/>
      <c r="AE646" s="22"/>
      <c r="AF646" s="22"/>
      <c r="AG646" s="22"/>
      <c r="AH646" s="22"/>
      <c r="AI646" s="24"/>
      <c r="AJ646" s="22"/>
      <c r="AK646" s="22"/>
      <c r="AL646" s="22"/>
    </row>
    <row r="647" spans="1:38" ht="14.25" customHeight="1" x14ac:dyDescent="0.35">
      <c r="A647" s="22"/>
      <c r="B647" s="22"/>
      <c r="C647" s="23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4"/>
      <c r="Z647" s="22"/>
      <c r="AA647" s="22"/>
      <c r="AB647" s="22"/>
      <c r="AC647" s="22"/>
      <c r="AD647" s="22"/>
      <c r="AE647" s="22"/>
      <c r="AF647" s="22"/>
      <c r="AG647" s="22"/>
      <c r="AH647" s="22"/>
      <c r="AI647" s="24"/>
      <c r="AJ647" s="22"/>
      <c r="AK647" s="22"/>
      <c r="AL647" s="22"/>
    </row>
    <row r="648" spans="1:38" ht="14.25" customHeight="1" x14ac:dyDescent="0.35">
      <c r="A648" s="22"/>
      <c r="B648" s="22"/>
      <c r="C648" s="23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4"/>
      <c r="Z648" s="22"/>
      <c r="AA648" s="22"/>
      <c r="AB648" s="22"/>
      <c r="AC648" s="22"/>
      <c r="AD648" s="22"/>
      <c r="AE648" s="22"/>
      <c r="AF648" s="22"/>
      <c r="AG648" s="22"/>
      <c r="AH648" s="22"/>
      <c r="AI648" s="24"/>
      <c r="AJ648" s="22"/>
      <c r="AK648" s="22"/>
      <c r="AL648" s="22"/>
    </row>
    <row r="649" spans="1:38" ht="14.25" customHeight="1" x14ac:dyDescent="0.35">
      <c r="A649" s="22"/>
      <c r="B649" s="22"/>
      <c r="C649" s="23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4"/>
      <c r="Z649" s="22"/>
      <c r="AA649" s="22"/>
      <c r="AB649" s="22"/>
      <c r="AC649" s="22"/>
      <c r="AD649" s="22"/>
      <c r="AE649" s="22"/>
      <c r="AF649" s="22"/>
      <c r="AG649" s="22"/>
      <c r="AH649" s="22"/>
      <c r="AI649" s="24"/>
      <c r="AJ649" s="22"/>
      <c r="AK649" s="22"/>
      <c r="AL649" s="22"/>
    </row>
    <row r="650" spans="1:38" ht="14.25" customHeight="1" x14ac:dyDescent="0.35">
      <c r="A650" s="22"/>
      <c r="B650" s="22"/>
      <c r="C650" s="23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4"/>
      <c r="Z650" s="22"/>
      <c r="AA650" s="22"/>
      <c r="AB650" s="22"/>
      <c r="AC650" s="22"/>
      <c r="AD650" s="22"/>
      <c r="AE650" s="22"/>
      <c r="AF650" s="22"/>
      <c r="AG650" s="22"/>
      <c r="AH650" s="22"/>
      <c r="AI650" s="24"/>
      <c r="AJ650" s="22"/>
      <c r="AK650" s="22"/>
      <c r="AL650" s="22"/>
    </row>
    <row r="651" spans="1:38" ht="14.25" customHeight="1" x14ac:dyDescent="0.35">
      <c r="A651" s="22"/>
      <c r="B651" s="22"/>
      <c r="C651" s="23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4"/>
      <c r="Z651" s="22"/>
      <c r="AA651" s="22"/>
      <c r="AB651" s="22"/>
      <c r="AC651" s="22"/>
      <c r="AD651" s="22"/>
      <c r="AE651" s="22"/>
      <c r="AF651" s="22"/>
      <c r="AG651" s="22"/>
      <c r="AH651" s="22"/>
      <c r="AI651" s="24"/>
      <c r="AJ651" s="22"/>
      <c r="AK651" s="22"/>
      <c r="AL651" s="22"/>
    </row>
    <row r="652" spans="1:38" ht="14.25" customHeight="1" x14ac:dyDescent="0.35">
      <c r="A652" s="22"/>
      <c r="B652" s="22"/>
      <c r="C652" s="23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4"/>
      <c r="Z652" s="22"/>
      <c r="AA652" s="22"/>
      <c r="AB652" s="22"/>
      <c r="AC652" s="22"/>
      <c r="AD652" s="22"/>
      <c r="AE652" s="22"/>
      <c r="AF652" s="22"/>
      <c r="AG652" s="22"/>
      <c r="AH652" s="22"/>
      <c r="AI652" s="24"/>
      <c r="AJ652" s="22"/>
      <c r="AK652" s="22"/>
      <c r="AL652" s="22"/>
    </row>
    <row r="653" spans="1:38" ht="14.25" customHeight="1" x14ac:dyDescent="0.35">
      <c r="A653" s="22"/>
      <c r="B653" s="22"/>
      <c r="C653" s="23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4"/>
      <c r="Z653" s="22"/>
      <c r="AA653" s="22"/>
      <c r="AB653" s="22"/>
      <c r="AC653" s="22"/>
      <c r="AD653" s="22"/>
      <c r="AE653" s="22"/>
      <c r="AF653" s="22"/>
      <c r="AG653" s="22"/>
      <c r="AH653" s="22"/>
      <c r="AI653" s="24"/>
      <c r="AJ653" s="22"/>
      <c r="AK653" s="22"/>
      <c r="AL653" s="22"/>
    </row>
    <row r="654" spans="1:38" ht="14.25" customHeight="1" x14ac:dyDescent="0.35">
      <c r="A654" s="22"/>
      <c r="B654" s="22"/>
      <c r="C654" s="23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4"/>
      <c r="Z654" s="22"/>
      <c r="AA654" s="22"/>
      <c r="AB654" s="22"/>
      <c r="AC654" s="22"/>
      <c r="AD654" s="22"/>
      <c r="AE654" s="22"/>
      <c r="AF654" s="22"/>
      <c r="AG654" s="22"/>
      <c r="AH654" s="22"/>
      <c r="AI654" s="24"/>
      <c r="AJ654" s="22"/>
      <c r="AK654" s="22"/>
      <c r="AL654" s="22"/>
    </row>
    <row r="655" spans="1:38" ht="14.25" customHeight="1" x14ac:dyDescent="0.35">
      <c r="A655" s="22"/>
      <c r="B655" s="22"/>
      <c r="C655" s="23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4"/>
      <c r="Z655" s="22"/>
      <c r="AA655" s="22"/>
      <c r="AB655" s="22"/>
      <c r="AC655" s="22"/>
      <c r="AD655" s="22"/>
      <c r="AE655" s="22"/>
      <c r="AF655" s="22"/>
      <c r="AG655" s="22"/>
      <c r="AH655" s="22"/>
      <c r="AI655" s="24"/>
      <c r="AJ655" s="22"/>
      <c r="AK655" s="22"/>
      <c r="AL655" s="22"/>
    </row>
    <row r="656" spans="1:38" ht="14.25" customHeight="1" x14ac:dyDescent="0.35">
      <c r="A656" s="22"/>
      <c r="B656" s="22"/>
      <c r="C656" s="23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4"/>
      <c r="Z656" s="22"/>
      <c r="AA656" s="22"/>
      <c r="AB656" s="22"/>
      <c r="AC656" s="22"/>
      <c r="AD656" s="22"/>
      <c r="AE656" s="22"/>
      <c r="AF656" s="22"/>
      <c r="AG656" s="22"/>
      <c r="AH656" s="22"/>
      <c r="AI656" s="24"/>
      <c r="AJ656" s="22"/>
      <c r="AK656" s="22"/>
      <c r="AL656" s="22"/>
    </row>
    <row r="657" spans="1:38" ht="14.25" customHeight="1" x14ac:dyDescent="0.35">
      <c r="A657" s="22"/>
      <c r="B657" s="22"/>
      <c r="C657" s="23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4"/>
      <c r="Z657" s="22"/>
      <c r="AA657" s="22"/>
      <c r="AB657" s="22"/>
      <c r="AC657" s="22"/>
      <c r="AD657" s="22"/>
      <c r="AE657" s="22"/>
      <c r="AF657" s="22"/>
      <c r="AG657" s="22"/>
      <c r="AH657" s="22"/>
      <c r="AI657" s="24"/>
      <c r="AJ657" s="22"/>
      <c r="AK657" s="22"/>
      <c r="AL657" s="22"/>
    </row>
    <row r="658" spans="1:38" ht="14.25" customHeight="1" x14ac:dyDescent="0.35">
      <c r="A658" s="22"/>
      <c r="B658" s="22"/>
      <c r="C658" s="23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4"/>
      <c r="Z658" s="22"/>
      <c r="AA658" s="22"/>
      <c r="AB658" s="22"/>
      <c r="AC658" s="22"/>
      <c r="AD658" s="22"/>
      <c r="AE658" s="22"/>
      <c r="AF658" s="22"/>
      <c r="AG658" s="22"/>
      <c r="AH658" s="22"/>
      <c r="AI658" s="24"/>
      <c r="AJ658" s="22"/>
      <c r="AK658" s="22"/>
      <c r="AL658" s="22"/>
    </row>
    <row r="659" spans="1:38" ht="14.25" customHeight="1" x14ac:dyDescent="0.35">
      <c r="A659" s="22"/>
      <c r="B659" s="22"/>
      <c r="C659" s="23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4"/>
      <c r="Z659" s="22"/>
      <c r="AA659" s="22"/>
      <c r="AB659" s="22"/>
      <c r="AC659" s="22"/>
      <c r="AD659" s="22"/>
      <c r="AE659" s="22"/>
      <c r="AF659" s="22"/>
      <c r="AG659" s="22"/>
      <c r="AH659" s="22"/>
      <c r="AI659" s="24"/>
      <c r="AJ659" s="22"/>
      <c r="AK659" s="22"/>
      <c r="AL659" s="22"/>
    </row>
    <row r="660" spans="1:38" ht="14.25" customHeight="1" x14ac:dyDescent="0.35">
      <c r="A660" s="22"/>
      <c r="B660" s="22"/>
      <c r="C660" s="23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4"/>
      <c r="Z660" s="22"/>
      <c r="AA660" s="22"/>
      <c r="AB660" s="22"/>
      <c r="AC660" s="22"/>
      <c r="AD660" s="22"/>
      <c r="AE660" s="22"/>
      <c r="AF660" s="22"/>
      <c r="AG660" s="22"/>
      <c r="AH660" s="22"/>
      <c r="AI660" s="24"/>
      <c r="AJ660" s="22"/>
      <c r="AK660" s="22"/>
      <c r="AL660" s="22"/>
    </row>
    <row r="661" spans="1:38" ht="14.25" customHeight="1" x14ac:dyDescent="0.35">
      <c r="A661" s="22"/>
      <c r="B661" s="22"/>
      <c r="C661" s="23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4"/>
      <c r="Z661" s="22"/>
      <c r="AA661" s="22"/>
      <c r="AB661" s="22"/>
      <c r="AC661" s="22"/>
      <c r="AD661" s="22"/>
      <c r="AE661" s="22"/>
      <c r="AF661" s="22"/>
      <c r="AG661" s="22"/>
      <c r="AH661" s="22"/>
      <c r="AI661" s="24"/>
      <c r="AJ661" s="22"/>
      <c r="AK661" s="22"/>
      <c r="AL661" s="22"/>
    </row>
    <row r="662" spans="1:38" ht="14.25" customHeight="1" x14ac:dyDescent="0.35">
      <c r="A662" s="22"/>
      <c r="B662" s="22"/>
      <c r="C662" s="23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4"/>
      <c r="Z662" s="22"/>
      <c r="AA662" s="22"/>
      <c r="AB662" s="22"/>
      <c r="AC662" s="22"/>
      <c r="AD662" s="22"/>
      <c r="AE662" s="22"/>
      <c r="AF662" s="22"/>
      <c r="AG662" s="22"/>
      <c r="AH662" s="22"/>
      <c r="AI662" s="24"/>
      <c r="AJ662" s="22"/>
      <c r="AK662" s="22"/>
      <c r="AL662" s="22"/>
    </row>
    <row r="663" spans="1:38" ht="14.25" customHeight="1" x14ac:dyDescent="0.35">
      <c r="A663" s="22"/>
      <c r="B663" s="22"/>
      <c r="C663" s="23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4"/>
      <c r="Z663" s="22"/>
      <c r="AA663" s="22"/>
      <c r="AB663" s="22"/>
      <c r="AC663" s="22"/>
      <c r="AD663" s="22"/>
      <c r="AE663" s="22"/>
      <c r="AF663" s="22"/>
      <c r="AG663" s="22"/>
      <c r="AH663" s="22"/>
      <c r="AI663" s="24"/>
      <c r="AJ663" s="22"/>
      <c r="AK663" s="22"/>
      <c r="AL663" s="22"/>
    </row>
    <row r="664" spans="1:38" ht="14.25" customHeight="1" x14ac:dyDescent="0.35">
      <c r="A664" s="22"/>
      <c r="B664" s="22"/>
      <c r="C664" s="23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4"/>
      <c r="Z664" s="22"/>
      <c r="AA664" s="22"/>
      <c r="AB664" s="22"/>
      <c r="AC664" s="22"/>
      <c r="AD664" s="22"/>
      <c r="AE664" s="22"/>
      <c r="AF664" s="22"/>
      <c r="AG664" s="22"/>
      <c r="AH664" s="22"/>
      <c r="AI664" s="24"/>
      <c r="AJ664" s="22"/>
      <c r="AK664" s="22"/>
      <c r="AL664" s="22"/>
    </row>
    <row r="665" spans="1:38" ht="14.25" customHeight="1" x14ac:dyDescent="0.35">
      <c r="A665" s="22"/>
      <c r="B665" s="22"/>
      <c r="C665" s="23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4"/>
      <c r="Z665" s="22"/>
      <c r="AA665" s="22"/>
      <c r="AB665" s="22"/>
      <c r="AC665" s="22"/>
      <c r="AD665" s="22"/>
      <c r="AE665" s="22"/>
      <c r="AF665" s="22"/>
      <c r="AG665" s="22"/>
      <c r="AH665" s="22"/>
      <c r="AI665" s="24"/>
      <c r="AJ665" s="22"/>
      <c r="AK665" s="22"/>
      <c r="AL665" s="22"/>
    </row>
    <row r="666" spans="1:38" ht="14.25" customHeight="1" x14ac:dyDescent="0.35">
      <c r="A666" s="22"/>
      <c r="B666" s="22"/>
      <c r="C666" s="23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4"/>
      <c r="Z666" s="22"/>
      <c r="AA666" s="22"/>
      <c r="AB666" s="22"/>
      <c r="AC666" s="22"/>
      <c r="AD666" s="22"/>
      <c r="AE666" s="22"/>
      <c r="AF666" s="22"/>
      <c r="AG666" s="22"/>
      <c r="AH666" s="22"/>
      <c r="AI666" s="24"/>
      <c r="AJ666" s="22"/>
      <c r="AK666" s="22"/>
      <c r="AL666" s="22"/>
    </row>
    <row r="667" spans="1:38" ht="14.25" customHeight="1" x14ac:dyDescent="0.35">
      <c r="A667" s="22"/>
      <c r="B667" s="22"/>
      <c r="C667" s="23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4"/>
      <c r="Z667" s="22"/>
      <c r="AA667" s="22"/>
      <c r="AB667" s="22"/>
      <c r="AC667" s="22"/>
      <c r="AD667" s="22"/>
      <c r="AE667" s="22"/>
      <c r="AF667" s="22"/>
      <c r="AG667" s="22"/>
      <c r="AH667" s="22"/>
      <c r="AI667" s="24"/>
      <c r="AJ667" s="22"/>
      <c r="AK667" s="22"/>
      <c r="AL667" s="22"/>
    </row>
    <row r="668" spans="1:38" ht="14.25" customHeight="1" x14ac:dyDescent="0.35">
      <c r="A668" s="22"/>
      <c r="B668" s="22"/>
      <c r="C668" s="23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4"/>
      <c r="Z668" s="22"/>
      <c r="AA668" s="22"/>
      <c r="AB668" s="22"/>
      <c r="AC668" s="22"/>
      <c r="AD668" s="22"/>
      <c r="AE668" s="22"/>
      <c r="AF668" s="22"/>
      <c r="AG668" s="22"/>
      <c r="AH668" s="22"/>
      <c r="AI668" s="24"/>
      <c r="AJ668" s="22"/>
      <c r="AK668" s="22"/>
      <c r="AL668" s="22"/>
    </row>
    <row r="669" spans="1:38" ht="14.25" customHeight="1" x14ac:dyDescent="0.35">
      <c r="A669" s="22"/>
      <c r="B669" s="22"/>
      <c r="C669" s="23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4"/>
      <c r="Z669" s="22"/>
      <c r="AA669" s="22"/>
      <c r="AB669" s="22"/>
      <c r="AC669" s="22"/>
      <c r="AD669" s="22"/>
      <c r="AE669" s="22"/>
      <c r="AF669" s="22"/>
      <c r="AG669" s="22"/>
      <c r="AH669" s="22"/>
      <c r="AI669" s="24"/>
      <c r="AJ669" s="22"/>
      <c r="AK669" s="22"/>
      <c r="AL669" s="22"/>
    </row>
    <row r="670" spans="1:38" ht="14.25" customHeight="1" x14ac:dyDescent="0.35">
      <c r="A670" s="22"/>
      <c r="B670" s="22"/>
      <c r="C670" s="23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4"/>
      <c r="Z670" s="22"/>
      <c r="AA670" s="22"/>
      <c r="AB670" s="22"/>
      <c r="AC670" s="22"/>
      <c r="AD670" s="22"/>
      <c r="AE670" s="22"/>
      <c r="AF670" s="22"/>
      <c r="AG670" s="22"/>
      <c r="AH670" s="22"/>
      <c r="AI670" s="24"/>
      <c r="AJ670" s="22"/>
      <c r="AK670" s="22"/>
      <c r="AL670" s="22"/>
    </row>
    <row r="671" spans="1:38" ht="14.25" customHeight="1" x14ac:dyDescent="0.35">
      <c r="A671" s="22"/>
      <c r="B671" s="22"/>
      <c r="C671" s="23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4"/>
      <c r="Z671" s="22"/>
      <c r="AA671" s="22"/>
      <c r="AB671" s="22"/>
      <c r="AC671" s="22"/>
      <c r="AD671" s="22"/>
      <c r="AE671" s="22"/>
      <c r="AF671" s="22"/>
      <c r="AG671" s="22"/>
      <c r="AH671" s="22"/>
      <c r="AI671" s="24"/>
      <c r="AJ671" s="22"/>
      <c r="AK671" s="22"/>
      <c r="AL671" s="22"/>
    </row>
    <row r="672" spans="1:38" ht="14.25" customHeight="1" x14ac:dyDescent="0.35">
      <c r="A672" s="22"/>
      <c r="B672" s="22"/>
      <c r="C672" s="23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4"/>
      <c r="Z672" s="22"/>
      <c r="AA672" s="22"/>
      <c r="AB672" s="22"/>
      <c r="AC672" s="22"/>
      <c r="AD672" s="22"/>
      <c r="AE672" s="22"/>
      <c r="AF672" s="22"/>
      <c r="AG672" s="22"/>
      <c r="AH672" s="22"/>
      <c r="AI672" s="24"/>
      <c r="AJ672" s="22"/>
      <c r="AK672" s="22"/>
      <c r="AL672" s="22"/>
    </row>
    <row r="673" spans="1:38" ht="14.25" customHeight="1" x14ac:dyDescent="0.35">
      <c r="A673" s="22"/>
      <c r="B673" s="22"/>
      <c r="C673" s="23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4"/>
      <c r="Z673" s="22"/>
      <c r="AA673" s="22"/>
      <c r="AB673" s="22"/>
      <c r="AC673" s="22"/>
      <c r="AD673" s="22"/>
      <c r="AE673" s="22"/>
      <c r="AF673" s="22"/>
      <c r="AG673" s="22"/>
      <c r="AH673" s="22"/>
      <c r="AI673" s="24"/>
      <c r="AJ673" s="22"/>
      <c r="AK673" s="22"/>
      <c r="AL673" s="22"/>
    </row>
    <row r="674" spans="1:38" ht="14.25" customHeight="1" x14ac:dyDescent="0.35">
      <c r="A674" s="22"/>
      <c r="B674" s="22"/>
      <c r="C674" s="23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4"/>
      <c r="Z674" s="22"/>
      <c r="AA674" s="22"/>
      <c r="AB674" s="22"/>
      <c r="AC674" s="22"/>
      <c r="AD674" s="22"/>
      <c r="AE674" s="22"/>
      <c r="AF674" s="22"/>
      <c r="AG674" s="22"/>
      <c r="AH674" s="22"/>
      <c r="AI674" s="24"/>
      <c r="AJ674" s="22"/>
      <c r="AK674" s="22"/>
      <c r="AL674" s="22"/>
    </row>
    <row r="675" spans="1:38" ht="14.25" customHeight="1" x14ac:dyDescent="0.35">
      <c r="A675" s="22"/>
      <c r="B675" s="22"/>
      <c r="C675" s="23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4"/>
      <c r="Z675" s="22"/>
      <c r="AA675" s="22"/>
      <c r="AB675" s="22"/>
      <c r="AC675" s="22"/>
      <c r="AD675" s="22"/>
      <c r="AE675" s="22"/>
      <c r="AF675" s="22"/>
      <c r="AG675" s="22"/>
      <c r="AH675" s="22"/>
      <c r="AI675" s="24"/>
      <c r="AJ675" s="22"/>
      <c r="AK675" s="22"/>
      <c r="AL675" s="22"/>
    </row>
    <row r="676" spans="1:38" ht="14.25" customHeight="1" x14ac:dyDescent="0.35">
      <c r="A676" s="22"/>
      <c r="B676" s="22"/>
      <c r="C676" s="23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4"/>
      <c r="Z676" s="22"/>
      <c r="AA676" s="22"/>
      <c r="AB676" s="22"/>
      <c r="AC676" s="22"/>
      <c r="AD676" s="22"/>
      <c r="AE676" s="22"/>
      <c r="AF676" s="22"/>
      <c r="AG676" s="22"/>
      <c r="AH676" s="22"/>
      <c r="AI676" s="24"/>
      <c r="AJ676" s="22"/>
      <c r="AK676" s="22"/>
      <c r="AL676" s="22"/>
    </row>
    <row r="677" spans="1:38" ht="14.25" customHeight="1" x14ac:dyDescent="0.35">
      <c r="A677" s="22"/>
      <c r="B677" s="22"/>
      <c r="C677" s="23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4"/>
      <c r="Z677" s="22"/>
      <c r="AA677" s="22"/>
      <c r="AB677" s="22"/>
      <c r="AC677" s="22"/>
      <c r="AD677" s="22"/>
      <c r="AE677" s="22"/>
      <c r="AF677" s="22"/>
      <c r="AG677" s="22"/>
      <c r="AH677" s="22"/>
      <c r="AI677" s="24"/>
      <c r="AJ677" s="22"/>
      <c r="AK677" s="22"/>
      <c r="AL677" s="22"/>
    </row>
    <row r="678" spans="1:38" ht="14.25" customHeight="1" x14ac:dyDescent="0.35">
      <c r="A678" s="22"/>
      <c r="B678" s="22"/>
      <c r="C678" s="23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4"/>
      <c r="Z678" s="22"/>
      <c r="AA678" s="22"/>
      <c r="AB678" s="22"/>
      <c r="AC678" s="22"/>
      <c r="AD678" s="22"/>
      <c r="AE678" s="22"/>
      <c r="AF678" s="22"/>
      <c r="AG678" s="22"/>
      <c r="AH678" s="22"/>
      <c r="AI678" s="24"/>
      <c r="AJ678" s="22"/>
      <c r="AK678" s="22"/>
      <c r="AL678" s="22"/>
    </row>
    <row r="679" spans="1:38" ht="14.25" customHeight="1" x14ac:dyDescent="0.35">
      <c r="A679" s="22"/>
      <c r="B679" s="22"/>
      <c r="C679" s="23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4"/>
      <c r="Z679" s="22"/>
      <c r="AA679" s="22"/>
      <c r="AB679" s="22"/>
      <c r="AC679" s="22"/>
      <c r="AD679" s="22"/>
      <c r="AE679" s="22"/>
      <c r="AF679" s="22"/>
      <c r="AG679" s="22"/>
      <c r="AH679" s="22"/>
      <c r="AI679" s="24"/>
      <c r="AJ679" s="22"/>
      <c r="AK679" s="22"/>
      <c r="AL679" s="22"/>
    </row>
    <row r="680" spans="1:38" ht="14.25" customHeight="1" x14ac:dyDescent="0.35">
      <c r="A680" s="22"/>
      <c r="B680" s="22"/>
      <c r="C680" s="23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4"/>
      <c r="Z680" s="22"/>
      <c r="AA680" s="22"/>
      <c r="AB680" s="22"/>
      <c r="AC680" s="22"/>
      <c r="AD680" s="22"/>
      <c r="AE680" s="22"/>
      <c r="AF680" s="22"/>
      <c r="AG680" s="22"/>
      <c r="AH680" s="22"/>
      <c r="AI680" s="24"/>
      <c r="AJ680" s="22"/>
      <c r="AK680" s="22"/>
      <c r="AL680" s="22"/>
    </row>
    <row r="681" spans="1:38" ht="14.25" customHeight="1" x14ac:dyDescent="0.35">
      <c r="A681" s="22"/>
      <c r="B681" s="22"/>
      <c r="C681" s="23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4"/>
      <c r="Z681" s="22"/>
      <c r="AA681" s="22"/>
      <c r="AB681" s="22"/>
      <c r="AC681" s="22"/>
      <c r="AD681" s="22"/>
      <c r="AE681" s="22"/>
      <c r="AF681" s="22"/>
      <c r="AG681" s="22"/>
      <c r="AH681" s="22"/>
      <c r="AI681" s="24"/>
      <c r="AJ681" s="22"/>
      <c r="AK681" s="22"/>
      <c r="AL681" s="22"/>
    </row>
    <row r="682" spans="1:38" ht="14.25" customHeight="1" x14ac:dyDescent="0.35">
      <c r="A682" s="22"/>
      <c r="B682" s="22"/>
      <c r="C682" s="23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4"/>
      <c r="Z682" s="22"/>
      <c r="AA682" s="22"/>
      <c r="AB682" s="22"/>
      <c r="AC682" s="22"/>
      <c r="AD682" s="22"/>
      <c r="AE682" s="22"/>
      <c r="AF682" s="22"/>
      <c r="AG682" s="22"/>
      <c r="AH682" s="22"/>
      <c r="AI682" s="24"/>
      <c r="AJ682" s="22"/>
      <c r="AK682" s="22"/>
      <c r="AL682" s="22"/>
    </row>
    <row r="683" spans="1:38" ht="14.25" customHeight="1" x14ac:dyDescent="0.35">
      <c r="A683" s="22"/>
      <c r="B683" s="22"/>
      <c r="C683" s="23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4"/>
      <c r="Z683" s="22"/>
      <c r="AA683" s="22"/>
      <c r="AB683" s="22"/>
      <c r="AC683" s="22"/>
      <c r="AD683" s="22"/>
      <c r="AE683" s="22"/>
      <c r="AF683" s="22"/>
      <c r="AG683" s="22"/>
      <c r="AH683" s="22"/>
      <c r="AI683" s="24"/>
      <c r="AJ683" s="22"/>
      <c r="AK683" s="22"/>
      <c r="AL683" s="22"/>
    </row>
    <row r="684" spans="1:38" ht="14.25" customHeight="1" x14ac:dyDescent="0.35">
      <c r="A684" s="22"/>
      <c r="B684" s="22"/>
      <c r="C684" s="23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4"/>
      <c r="Z684" s="22"/>
      <c r="AA684" s="22"/>
      <c r="AB684" s="22"/>
      <c r="AC684" s="22"/>
      <c r="AD684" s="22"/>
      <c r="AE684" s="22"/>
      <c r="AF684" s="22"/>
      <c r="AG684" s="22"/>
      <c r="AH684" s="22"/>
      <c r="AI684" s="24"/>
      <c r="AJ684" s="22"/>
      <c r="AK684" s="22"/>
      <c r="AL684" s="22"/>
    </row>
    <row r="685" spans="1:38" ht="14.25" customHeight="1" x14ac:dyDescent="0.35">
      <c r="A685" s="22"/>
      <c r="B685" s="22"/>
      <c r="C685" s="23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4"/>
      <c r="Z685" s="22"/>
      <c r="AA685" s="22"/>
      <c r="AB685" s="22"/>
      <c r="AC685" s="22"/>
      <c r="AD685" s="22"/>
      <c r="AE685" s="22"/>
      <c r="AF685" s="22"/>
      <c r="AG685" s="22"/>
      <c r="AH685" s="22"/>
      <c r="AI685" s="24"/>
      <c r="AJ685" s="22"/>
      <c r="AK685" s="22"/>
      <c r="AL685" s="22"/>
    </row>
    <row r="686" spans="1:38" ht="14.25" customHeight="1" x14ac:dyDescent="0.35">
      <c r="A686" s="22"/>
      <c r="B686" s="22"/>
      <c r="C686" s="23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4"/>
      <c r="Z686" s="22"/>
      <c r="AA686" s="22"/>
      <c r="AB686" s="22"/>
      <c r="AC686" s="22"/>
      <c r="AD686" s="22"/>
      <c r="AE686" s="22"/>
      <c r="AF686" s="22"/>
      <c r="AG686" s="22"/>
      <c r="AH686" s="22"/>
      <c r="AI686" s="24"/>
      <c r="AJ686" s="22"/>
      <c r="AK686" s="22"/>
      <c r="AL686" s="22"/>
    </row>
    <row r="687" spans="1:38" ht="14.25" customHeight="1" x14ac:dyDescent="0.35">
      <c r="A687" s="22"/>
      <c r="B687" s="22"/>
      <c r="C687" s="23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4"/>
      <c r="Z687" s="22"/>
      <c r="AA687" s="22"/>
      <c r="AB687" s="22"/>
      <c r="AC687" s="22"/>
      <c r="AD687" s="22"/>
      <c r="AE687" s="22"/>
      <c r="AF687" s="22"/>
      <c r="AG687" s="22"/>
      <c r="AH687" s="22"/>
      <c r="AI687" s="24"/>
      <c r="AJ687" s="22"/>
      <c r="AK687" s="22"/>
      <c r="AL687" s="22"/>
    </row>
    <row r="688" spans="1:38" ht="14.25" customHeight="1" x14ac:dyDescent="0.35">
      <c r="A688" s="22"/>
      <c r="B688" s="22"/>
      <c r="C688" s="23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4"/>
      <c r="Z688" s="22"/>
      <c r="AA688" s="22"/>
      <c r="AB688" s="22"/>
      <c r="AC688" s="22"/>
      <c r="AD688" s="22"/>
      <c r="AE688" s="22"/>
      <c r="AF688" s="22"/>
      <c r="AG688" s="22"/>
      <c r="AH688" s="22"/>
      <c r="AI688" s="24"/>
      <c r="AJ688" s="22"/>
      <c r="AK688" s="22"/>
      <c r="AL688" s="22"/>
    </row>
    <row r="689" spans="1:38" ht="14.25" customHeight="1" x14ac:dyDescent="0.35">
      <c r="A689" s="22"/>
      <c r="B689" s="22"/>
      <c r="C689" s="23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4"/>
      <c r="Z689" s="22"/>
      <c r="AA689" s="22"/>
      <c r="AB689" s="22"/>
      <c r="AC689" s="22"/>
      <c r="AD689" s="22"/>
      <c r="AE689" s="22"/>
      <c r="AF689" s="22"/>
      <c r="AG689" s="22"/>
      <c r="AH689" s="22"/>
      <c r="AI689" s="24"/>
      <c r="AJ689" s="22"/>
      <c r="AK689" s="22"/>
      <c r="AL689" s="22"/>
    </row>
    <row r="690" spans="1:38" ht="14.25" customHeight="1" x14ac:dyDescent="0.35">
      <c r="A690" s="22"/>
      <c r="B690" s="22"/>
      <c r="C690" s="23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4"/>
      <c r="Z690" s="22"/>
      <c r="AA690" s="22"/>
      <c r="AB690" s="22"/>
      <c r="AC690" s="22"/>
      <c r="AD690" s="22"/>
      <c r="AE690" s="22"/>
      <c r="AF690" s="22"/>
      <c r="AG690" s="22"/>
      <c r="AH690" s="22"/>
      <c r="AI690" s="24"/>
      <c r="AJ690" s="22"/>
      <c r="AK690" s="22"/>
      <c r="AL690" s="22"/>
    </row>
    <row r="691" spans="1:38" ht="14.25" customHeight="1" x14ac:dyDescent="0.35">
      <c r="A691" s="22"/>
      <c r="B691" s="22"/>
      <c r="C691" s="23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4"/>
      <c r="Z691" s="22"/>
      <c r="AA691" s="22"/>
      <c r="AB691" s="22"/>
      <c r="AC691" s="22"/>
      <c r="AD691" s="22"/>
      <c r="AE691" s="22"/>
      <c r="AF691" s="22"/>
      <c r="AG691" s="22"/>
      <c r="AH691" s="22"/>
      <c r="AI691" s="24"/>
      <c r="AJ691" s="22"/>
      <c r="AK691" s="22"/>
      <c r="AL691" s="22"/>
    </row>
    <row r="692" spans="1:38" ht="14.25" customHeight="1" x14ac:dyDescent="0.35">
      <c r="A692" s="22"/>
      <c r="B692" s="22"/>
      <c r="C692" s="23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4"/>
      <c r="Z692" s="22"/>
      <c r="AA692" s="22"/>
      <c r="AB692" s="22"/>
      <c r="AC692" s="22"/>
      <c r="AD692" s="22"/>
      <c r="AE692" s="22"/>
      <c r="AF692" s="22"/>
      <c r="AG692" s="22"/>
      <c r="AH692" s="22"/>
      <c r="AI692" s="24"/>
      <c r="AJ692" s="22"/>
      <c r="AK692" s="22"/>
      <c r="AL692" s="22"/>
    </row>
    <row r="693" spans="1:38" ht="14.25" customHeight="1" x14ac:dyDescent="0.35">
      <c r="A693" s="22"/>
      <c r="B693" s="22"/>
      <c r="C693" s="23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4"/>
      <c r="Z693" s="22"/>
      <c r="AA693" s="22"/>
      <c r="AB693" s="22"/>
      <c r="AC693" s="22"/>
      <c r="AD693" s="22"/>
      <c r="AE693" s="22"/>
      <c r="AF693" s="22"/>
      <c r="AG693" s="22"/>
      <c r="AH693" s="22"/>
      <c r="AI693" s="24"/>
      <c r="AJ693" s="22"/>
      <c r="AK693" s="22"/>
      <c r="AL693" s="22"/>
    </row>
    <row r="694" spans="1:38" ht="14.25" customHeight="1" x14ac:dyDescent="0.35">
      <c r="A694" s="22"/>
      <c r="B694" s="22"/>
      <c r="C694" s="23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4"/>
      <c r="Z694" s="22"/>
      <c r="AA694" s="22"/>
      <c r="AB694" s="22"/>
      <c r="AC694" s="22"/>
      <c r="AD694" s="22"/>
      <c r="AE694" s="22"/>
      <c r="AF694" s="22"/>
      <c r="AG694" s="22"/>
      <c r="AH694" s="22"/>
      <c r="AI694" s="24"/>
      <c r="AJ694" s="22"/>
      <c r="AK694" s="22"/>
      <c r="AL694" s="22"/>
    </row>
    <row r="695" spans="1:38" ht="14.25" customHeight="1" x14ac:dyDescent="0.35">
      <c r="A695" s="22"/>
      <c r="B695" s="22"/>
      <c r="C695" s="23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4"/>
      <c r="Z695" s="22"/>
      <c r="AA695" s="22"/>
      <c r="AB695" s="22"/>
      <c r="AC695" s="22"/>
      <c r="AD695" s="22"/>
      <c r="AE695" s="22"/>
      <c r="AF695" s="22"/>
      <c r="AG695" s="22"/>
      <c r="AH695" s="22"/>
      <c r="AI695" s="24"/>
      <c r="AJ695" s="22"/>
      <c r="AK695" s="22"/>
      <c r="AL695" s="22"/>
    </row>
    <row r="696" spans="1:38" ht="14.25" customHeight="1" x14ac:dyDescent="0.35">
      <c r="A696" s="22"/>
      <c r="B696" s="22"/>
      <c r="C696" s="23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4"/>
      <c r="Z696" s="22"/>
      <c r="AA696" s="22"/>
      <c r="AB696" s="22"/>
      <c r="AC696" s="22"/>
      <c r="AD696" s="22"/>
      <c r="AE696" s="22"/>
      <c r="AF696" s="22"/>
      <c r="AG696" s="22"/>
      <c r="AH696" s="22"/>
      <c r="AI696" s="24"/>
      <c r="AJ696" s="22"/>
      <c r="AK696" s="22"/>
      <c r="AL696" s="22"/>
    </row>
    <row r="697" spans="1:38" ht="14.25" customHeight="1" x14ac:dyDescent="0.35">
      <c r="A697" s="22"/>
      <c r="B697" s="22"/>
      <c r="C697" s="23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4"/>
      <c r="Z697" s="22"/>
      <c r="AA697" s="22"/>
      <c r="AB697" s="22"/>
      <c r="AC697" s="22"/>
      <c r="AD697" s="22"/>
      <c r="AE697" s="22"/>
      <c r="AF697" s="22"/>
      <c r="AG697" s="22"/>
      <c r="AH697" s="22"/>
      <c r="AI697" s="24"/>
      <c r="AJ697" s="22"/>
      <c r="AK697" s="22"/>
      <c r="AL697" s="22"/>
    </row>
    <row r="698" spans="1:38" ht="14.25" customHeight="1" x14ac:dyDescent="0.35">
      <c r="A698" s="22"/>
      <c r="B698" s="22"/>
      <c r="C698" s="23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4"/>
      <c r="Z698" s="22"/>
      <c r="AA698" s="22"/>
      <c r="AB698" s="22"/>
      <c r="AC698" s="22"/>
      <c r="AD698" s="22"/>
      <c r="AE698" s="22"/>
      <c r="AF698" s="22"/>
      <c r="AG698" s="22"/>
      <c r="AH698" s="22"/>
      <c r="AI698" s="24"/>
      <c r="AJ698" s="22"/>
      <c r="AK698" s="22"/>
      <c r="AL698" s="22"/>
    </row>
    <row r="699" spans="1:38" ht="14.25" customHeight="1" x14ac:dyDescent="0.35">
      <c r="A699" s="22"/>
      <c r="B699" s="22"/>
      <c r="C699" s="23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4"/>
      <c r="Z699" s="22"/>
      <c r="AA699" s="22"/>
      <c r="AB699" s="22"/>
      <c r="AC699" s="22"/>
      <c r="AD699" s="22"/>
      <c r="AE699" s="22"/>
      <c r="AF699" s="22"/>
      <c r="AG699" s="22"/>
      <c r="AH699" s="22"/>
      <c r="AI699" s="24"/>
      <c r="AJ699" s="22"/>
      <c r="AK699" s="22"/>
      <c r="AL699" s="22"/>
    </row>
    <row r="700" spans="1:38" ht="14.25" customHeight="1" x14ac:dyDescent="0.35">
      <c r="A700" s="22"/>
      <c r="B700" s="22"/>
      <c r="C700" s="23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4"/>
      <c r="Z700" s="22"/>
      <c r="AA700" s="22"/>
      <c r="AB700" s="22"/>
      <c r="AC700" s="22"/>
      <c r="AD700" s="22"/>
      <c r="AE700" s="22"/>
      <c r="AF700" s="22"/>
      <c r="AG700" s="22"/>
      <c r="AH700" s="22"/>
      <c r="AI700" s="24"/>
      <c r="AJ700" s="22"/>
      <c r="AK700" s="22"/>
      <c r="AL700" s="22"/>
    </row>
    <row r="701" spans="1:38" ht="14.25" customHeight="1" x14ac:dyDescent="0.35">
      <c r="A701" s="22"/>
      <c r="B701" s="22"/>
      <c r="C701" s="23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4"/>
      <c r="Z701" s="22"/>
      <c r="AA701" s="22"/>
      <c r="AB701" s="22"/>
      <c r="AC701" s="22"/>
      <c r="AD701" s="22"/>
      <c r="AE701" s="22"/>
      <c r="AF701" s="22"/>
      <c r="AG701" s="22"/>
      <c r="AH701" s="22"/>
      <c r="AI701" s="24"/>
      <c r="AJ701" s="22"/>
      <c r="AK701" s="22"/>
      <c r="AL701" s="22"/>
    </row>
    <row r="702" spans="1:38" ht="14.25" customHeight="1" x14ac:dyDescent="0.35">
      <c r="A702" s="22"/>
      <c r="B702" s="22"/>
      <c r="C702" s="23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4"/>
      <c r="Z702" s="22"/>
      <c r="AA702" s="22"/>
      <c r="AB702" s="22"/>
      <c r="AC702" s="22"/>
      <c r="AD702" s="22"/>
      <c r="AE702" s="22"/>
      <c r="AF702" s="22"/>
      <c r="AG702" s="22"/>
      <c r="AH702" s="22"/>
      <c r="AI702" s="24"/>
      <c r="AJ702" s="22"/>
      <c r="AK702" s="22"/>
      <c r="AL702" s="22"/>
    </row>
    <row r="703" spans="1:38" ht="14.25" customHeight="1" x14ac:dyDescent="0.35">
      <c r="A703" s="22"/>
      <c r="B703" s="22"/>
      <c r="C703" s="23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4"/>
      <c r="Z703" s="22"/>
      <c r="AA703" s="22"/>
      <c r="AB703" s="22"/>
      <c r="AC703" s="22"/>
      <c r="AD703" s="22"/>
      <c r="AE703" s="22"/>
      <c r="AF703" s="22"/>
      <c r="AG703" s="22"/>
      <c r="AH703" s="22"/>
      <c r="AI703" s="24"/>
      <c r="AJ703" s="22"/>
      <c r="AK703" s="22"/>
      <c r="AL703" s="22"/>
    </row>
    <row r="704" spans="1:38" ht="14.25" customHeight="1" x14ac:dyDescent="0.35">
      <c r="A704" s="22"/>
      <c r="B704" s="22"/>
      <c r="C704" s="23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4"/>
      <c r="Z704" s="22"/>
      <c r="AA704" s="22"/>
      <c r="AB704" s="22"/>
      <c r="AC704" s="22"/>
      <c r="AD704" s="22"/>
      <c r="AE704" s="22"/>
      <c r="AF704" s="22"/>
      <c r="AG704" s="22"/>
      <c r="AH704" s="22"/>
      <c r="AI704" s="24"/>
      <c r="AJ704" s="22"/>
      <c r="AK704" s="22"/>
      <c r="AL704" s="22"/>
    </row>
    <row r="705" spans="1:38" ht="14.25" customHeight="1" x14ac:dyDescent="0.35">
      <c r="A705" s="22"/>
      <c r="B705" s="22"/>
      <c r="C705" s="23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4"/>
      <c r="Z705" s="22"/>
      <c r="AA705" s="22"/>
      <c r="AB705" s="22"/>
      <c r="AC705" s="22"/>
      <c r="AD705" s="22"/>
      <c r="AE705" s="22"/>
      <c r="AF705" s="22"/>
      <c r="AG705" s="22"/>
      <c r="AH705" s="22"/>
      <c r="AI705" s="24"/>
      <c r="AJ705" s="22"/>
      <c r="AK705" s="22"/>
      <c r="AL705" s="22"/>
    </row>
    <row r="706" spans="1:38" ht="14.25" customHeight="1" x14ac:dyDescent="0.35">
      <c r="A706" s="22"/>
      <c r="B706" s="22"/>
      <c r="C706" s="23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4"/>
      <c r="Z706" s="22"/>
      <c r="AA706" s="22"/>
      <c r="AB706" s="22"/>
      <c r="AC706" s="22"/>
      <c r="AD706" s="22"/>
      <c r="AE706" s="22"/>
      <c r="AF706" s="22"/>
      <c r="AG706" s="22"/>
      <c r="AH706" s="22"/>
      <c r="AI706" s="24"/>
      <c r="AJ706" s="22"/>
      <c r="AK706" s="22"/>
      <c r="AL706" s="22"/>
    </row>
    <row r="707" spans="1:38" ht="14.25" customHeight="1" x14ac:dyDescent="0.35">
      <c r="A707" s="22"/>
      <c r="B707" s="22"/>
      <c r="C707" s="23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4"/>
      <c r="Z707" s="22"/>
      <c r="AA707" s="22"/>
      <c r="AB707" s="22"/>
      <c r="AC707" s="22"/>
      <c r="AD707" s="22"/>
      <c r="AE707" s="22"/>
      <c r="AF707" s="22"/>
      <c r="AG707" s="22"/>
      <c r="AH707" s="22"/>
      <c r="AI707" s="24"/>
      <c r="AJ707" s="22"/>
      <c r="AK707" s="22"/>
      <c r="AL707" s="22"/>
    </row>
    <row r="708" spans="1:38" ht="14.25" customHeight="1" x14ac:dyDescent="0.35">
      <c r="A708" s="22"/>
      <c r="B708" s="22"/>
      <c r="C708" s="23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4"/>
      <c r="Z708" s="22"/>
      <c r="AA708" s="22"/>
      <c r="AB708" s="22"/>
      <c r="AC708" s="22"/>
      <c r="AD708" s="22"/>
      <c r="AE708" s="22"/>
      <c r="AF708" s="22"/>
      <c r="AG708" s="22"/>
      <c r="AH708" s="22"/>
      <c r="AI708" s="24"/>
      <c r="AJ708" s="22"/>
      <c r="AK708" s="22"/>
      <c r="AL708" s="22"/>
    </row>
    <row r="709" spans="1:38" ht="14.25" customHeight="1" x14ac:dyDescent="0.35">
      <c r="A709" s="22"/>
      <c r="B709" s="22"/>
      <c r="C709" s="23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4"/>
      <c r="Z709" s="22"/>
      <c r="AA709" s="22"/>
      <c r="AB709" s="22"/>
      <c r="AC709" s="22"/>
      <c r="AD709" s="22"/>
      <c r="AE709" s="22"/>
      <c r="AF709" s="22"/>
      <c r="AG709" s="22"/>
      <c r="AH709" s="22"/>
      <c r="AI709" s="24"/>
      <c r="AJ709" s="22"/>
      <c r="AK709" s="22"/>
      <c r="AL709" s="22"/>
    </row>
    <row r="710" spans="1:38" ht="14.25" customHeight="1" x14ac:dyDescent="0.35">
      <c r="A710" s="22"/>
      <c r="B710" s="22"/>
      <c r="C710" s="23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4"/>
      <c r="Z710" s="22"/>
      <c r="AA710" s="22"/>
      <c r="AB710" s="22"/>
      <c r="AC710" s="22"/>
      <c r="AD710" s="22"/>
      <c r="AE710" s="22"/>
      <c r="AF710" s="22"/>
      <c r="AG710" s="22"/>
      <c r="AH710" s="22"/>
      <c r="AI710" s="24"/>
      <c r="AJ710" s="22"/>
      <c r="AK710" s="22"/>
      <c r="AL710" s="22"/>
    </row>
    <row r="711" spans="1:38" ht="14.25" customHeight="1" x14ac:dyDescent="0.35">
      <c r="A711" s="22"/>
      <c r="B711" s="22"/>
      <c r="C711" s="23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4"/>
      <c r="Z711" s="22"/>
      <c r="AA711" s="22"/>
      <c r="AB711" s="22"/>
      <c r="AC711" s="22"/>
      <c r="AD711" s="22"/>
      <c r="AE711" s="22"/>
      <c r="AF711" s="22"/>
      <c r="AG711" s="22"/>
      <c r="AH711" s="22"/>
      <c r="AI711" s="24"/>
      <c r="AJ711" s="22"/>
      <c r="AK711" s="22"/>
      <c r="AL711" s="22"/>
    </row>
    <row r="712" spans="1:38" ht="14.25" customHeight="1" x14ac:dyDescent="0.35">
      <c r="A712" s="22"/>
      <c r="B712" s="22"/>
      <c r="C712" s="23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4"/>
      <c r="Z712" s="22"/>
      <c r="AA712" s="22"/>
      <c r="AB712" s="22"/>
      <c r="AC712" s="22"/>
      <c r="AD712" s="22"/>
      <c r="AE712" s="22"/>
      <c r="AF712" s="22"/>
      <c r="AG712" s="22"/>
      <c r="AH712" s="22"/>
      <c r="AI712" s="24"/>
      <c r="AJ712" s="22"/>
      <c r="AK712" s="22"/>
      <c r="AL712" s="22"/>
    </row>
    <row r="713" spans="1:38" ht="14.25" customHeight="1" x14ac:dyDescent="0.35">
      <c r="A713" s="22"/>
      <c r="B713" s="22"/>
      <c r="C713" s="23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4"/>
      <c r="Z713" s="22"/>
      <c r="AA713" s="22"/>
      <c r="AB713" s="22"/>
      <c r="AC713" s="22"/>
      <c r="AD713" s="22"/>
      <c r="AE713" s="22"/>
      <c r="AF713" s="22"/>
      <c r="AG713" s="22"/>
      <c r="AH713" s="22"/>
      <c r="AI713" s="24"/>
      <c r="AJ713" s="22"/>
      <c r="AK713" s="22"/>
      <c r="AL713" s="22"/>
    </row>
    <row r="714" spans="1:38" ht="14.25" customHeight="1" x14ac:dyDescent="0.35">
      <c r="A714" s="22"/>
      <c r="B714" s="22"/>
      <c r="C714" s="23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4"/>
      <c r="Z714" s="22"/>
      <c r="AA714" s="22"/>
      <c r="AB714" s="22"/>
      <c r="AC714" s="22"/>
      <c r="AD714" s="22"/>
      <c r="AE714" s="22"/>
      <c r="AF714" s="22"/>
      <c r="AG714" s="22"/>
      <c r="AH714" s="22"/>
      <c r="AI714" s="24"/>
      <c r="AJ714" s="22"/>
      <c r="AK714" s="22"/>
      <c r="AL714" s="22"/>
    </row>
    <row r="715" spans="1:38" ht="14.25" customHeight="1" x14ac:dyDescent="0.35">
      <c r="A715" s="22"/>
      <c r="B715" s="22"/>
      <c r="C715" s="23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4"/>
      <c r="Z715" s="22"/>
      <c r="AA715" s="22"/>
      <c r="AB715" s="22"/>
      <c r="AC715" s="22"/>
      <c r="AD715" s="22"/>
      <c r="AE715" s="22"/>
      <c r="AF715" s="22"/>
      <c r="AG715" s="22"/>
      <c r="AH715" s="22"/>
      <c r="AI715" s="24"/>
      <c r="AJ715" s="22"/>
      <c r="AK715" s="22"/>
      <c r="AL715" s="22"/>
    </row>
    <row r="716" spans="1:38" ht="14.25" customHeight="1" x14ac:dyDescent="0.35">
      <c r="A716" s="22"/>
      <c r="B716" s="22"/>
      <c r="C716" s="23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4"/>
      <c r="Z716" s="22"/>
      <c r="AA716" s="22"/>
      <c r="AB716" s="22"/>
      <c r="AC716" s="22"/>
      <c r="AD716" s="22"/>
      <c r="AE716" s="22"/>
      <c r="AF716" s="22"/>
      <c r="AG716" s="22"/>
      <c r="AH716" s="22"/>
      <c r="AI716" s="24"/>
      <c r="AJ716" s="22"/>
      <c r="AK716" s="22"/>
      <c r="AL716" s="22"/>
    </row>
    <row r="717" spans="1:38" ht="14.25" customHeight="1" x14ac:dyDescent="0.35">
      <c r="A717" s="22"/>
      <c r="B717" s="22"/>
      <c r="C717" s="23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4"/>
      <c r="Z717" s="22"/>
      <c r="AA717" s="22"/>
      <c r="AB717" s="22"/>
      <c r="AC717" s="22"/>
      <c r="AD717" s="22"/>
      <c r="AE717" s="22"/>
      <c r="AF717" s="22"/>
      <c r="AG717" s="22"/>
      <c r="AH717" s="22"/>
      <c r="AI717" s="24"/>
      <c r="AJ717" s="22"/>
      <c r="AK717" s="22"/>
      <c r="AL717" s="22"/>
    </row>
    <row r="718" spans="1:38" ht="14.25" customHeight="1" x14ac:dyDescent="0.35">
      <c r="A718" s="22"/>
      <c r="B718" s="22"/>
      <c r="C718" s="23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4"/>
      <c r="Z718" s="22"/>
      <c r="AA718" s="22"/>
      <c r="AB718" s="22"/>
      <c r="AC718" s="22"/>
      <c r="AD718" s="22"/>
      <c r="AE718" s="22"/>
      <c r="AF718" s="22"/>
      <c r="AG718" s="22"/>
      <c r="AH718" s="22"/>
      <c r="AI718" s="24"/>
      <c r="AJ718" s="22"/>
      <c r="AK718" s="22"/>
      <c r="AL718" s="22"/>
    </row>
    <row r="719" spans="1:38" ht="14.25" customHeight="1" x14ac:dyDescent="0.35">
      <c r="A719" s="22"/>
      <c r="B719" s="22"/>
      <c r="C719" s="23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4"/>
      <c r="Z719" s="22"/>
      <c r="AA719" s="22"/>
      <c r="AB719" s="22"/>
      <c r="AC719" s="22"/>
      <c r="AD719" s="22"/>
      <c r="AE719" s="22"/>
      <c r="AF719" s="22"/>
      <c r="AG719" s="22"/>
      <c r="AH719" s="22"/>
      <c r="AI719" s="24"/>
      <c r="AJ719" s="22"/>
      <c r="AK719" s="22"/>
      <c r="AL719" s="22"/>
    </row>
    <row r="720" spans="1:38" ht="14.25" customHeight="1" x14ac:dyDescent="0.35">
      <c r="A720" s="22"/>
      <c r="B720" s="22"/>
      <c r="C720" s="23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4"/>
      <c r="Z720" s="22"/>
      <c r="AA720" s="22"/>
      <c r="AB720" s="22"/>
      <c r="AC720" s="22"/>
      <c r="AD720" s="22"/>
      <c r="AE720" s="22"/>
      <c r="AF720" s="22"/>
      <c r="AG720" s="22"/>
      <c r="AH720" s="22"/>
      <c r="AI720" s="24"/>
      <c r="AJ720" s="22"/>
      <c r="AK720" s="22"/>
      <c r="AL720" s="22"/>
    </row>
    <row r="721" spans="1:38" ht="14.25" customHeight="1" x14ac:dyDescent="0.35">
      <c r="A721" s="22"/>
      <c r="B721" s="22"/>
      <c r="C721" s="23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4"/>
      <c r="Z721" s="22"/>
      <c r="AA721" s="22"/>
      <c r="AB721" s="22"/>
      <c r="AC721" s="22"/>
      <c r="AD721" s="22"/>
      <c r="AE721" s="22"/>
      <c r="AF721" s="22"/>
      <c r="AG721" s="22"/>
      <c r="AH721" s="22"/>
      <c r="AI721" s="24"/>
      <c r="AJ721" s="22"/>
      <c r="AK721" s="22"/>
      <c r="AL721" s="22"/>
    </row>
    <row r="722" spans="1:38" ht="14.25" customHeight="1" x14ac:dyDescent="0.35">
      <c r="A722" s="22"/>
      <c r="B722" s="22"/>
      <c r="C722" s="23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4"/>
      <c r="Z722" s="22"/>
      <c r="AA722" s="22"/>
      <c r="AB722" s="22"/>
      <c r="AC722" s="22"/>
      <c r="AD722" s="22"/>
      <c r="AE722" s="22"/>
      <c r="AF722" s="22"/>
      <c r="AG722" s="22"/>
      <c r="AH722" s="22"/>
      <c r="AI722" s="24"/>
      <c r="AJ722" s="22"/>
      <c r="AK722" s="22"/>
      <c r="AL722" s="22"/>
    </row>
    <row r="723" spans="1:38" ht="14.25" customHeight="1" x14ac:dyDescent="0.35">
      <c r="A723" s="22"/>
      <c r="B723" s="22"/>
      <c r="C723" s="23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4"/>
      <c r="Z723" s="22"/>
      <c r="AA723" s="22"/>
      <c r="AB723" s="22"/>
      <c r="AC723" s="22"/>
      <c r="AD723" s="22"/>
      <c r="AE723" s="22"/>
      <c r="AF723" s="22"/>
      <c r="AG723" s="22"/>
      <c r="AH723" s="22"/>
      <c r="AI723" s="24"/>
      <c r="AJ723" s="22"/>
      <c r="AK723" s="22"/>
      <c r="AL723" s="22"/>
    </row>
    <row r="724" spans="1:38" ht="14.25" customHeight="1" x14ac:dyDescent="0.35">
      <c r="A724" s="22"/>
      <c r="B724" s="22"/>
      <c r="C724" s="23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4"/>
      <c r="Z724" s="22"/>
      <c r="AA724" s="22"/>
      <c r="AB724" s="22"/>
      <c r="AC724" s="22"/>
      <c r="AD724" s="22"/>
      <c r="AE724" s="22"/>
      <c r="AF724" s="22"/>
      <c r="AG724" s="22"/>
      <c r="AH724" s="22"/>
      <c r="AI724" s="24"/>
      <c r="AJ724" s="22"/>
      <c r="AK724" s="22"/>
      <c r="AL724" s="22"/>
    </row>
    <row r="725" spans="1:38" ht="14.25" customHeight="1" x14ac:dyDescent="0.35">
      <c r="A725" s="22"/>
      <c r="B725" s="22"/>
      <c r="C725" s="23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4"/>
      <c r="Z725" s="22"/>
      <c r="AA725" s="22"/>
      <c r="AB725" s="22"/>
      <c r="AC725" s="22"/>
      <c r="AD725" s="22"/>
      <c r="AE725" s="22"/>
      <c r="AF725" s="22"/>
      <c r="AG725" s="22"/>
      <c r="AH725" s="22"/>
      <c r="AI725" s="24"/>
      <c r="AJ725" s="22"/>
      <c r="AK725" s="22"/>
      <c r="AL725" s="22"/>
    </row>
    <row r="726" spans="1:38" ht="14.25" customHeight="1" x14ac:dyDescent="0.35">
      <c r="A726" s="22"/>
      <c r="B726" s="22"/>
      <c r="C726" s="23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4"/>
      <c r="Z726" s="22"/>
      <c r="AA726" s="22"/>
      <c r="AB726" s="22"/>
      <c r="AC726" s="22"/>
      <c r="AD726" s="22"/>
      <c r="AE726" s="22"/>
      <c r="AF726" s="22"/>
      <c r="AG726" s="22"/>
      <c r="AH726" s="22"/>
      <c r="AI726" s="24"/>
      <c r="AJ726" s="22"/>
      <c r="AK726" s="22"/>
      <c r="AL726" s="22"/>
    </row>
    <row r="727" spans="1:38" ht="14.25" customHeight="1" x14ac:dyDescent="0.35">
      <c r="A727" s="22"/>
      <c r="B727" s="22"/>
      <c r="C727" s="23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4"/>
      <c r="Z727" s="22"/>
      <c r="AA727" s="22"/>
      <c r="AB727" s="22"/>
      <c r="AC727" s="22"/>
      <c r="AD727" s="22"/>
      <c r="AE727" s="22"/>
      <c r="AF727" s="22"/>
      <c r="AG727" s="22"/>
      <c r="AH727" s="22"/>
      <c r="AI727" s="24"/>
      <c r="AJ727" s="22"/>
      <c r="AK727" s="22"/>
      <c r="AL727" s="22"/>
    </row>
    <row r="728" spans="1:38" ht="14.25" customHeight="1" x14ac:dyDescent="0.35">
      <c r="A728" s="22"/>
      <c r="B728" s="22"/>
      <c r="C728" s="23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4"/>
      <c r="Z728" s="22"/>
      <c r="AA728" s="22"/>
      <c r="AB728" s="22"/>
      <c r="AC728" s="22"/>
      <c r="AD728" s="22"/>
      <c r="AE728" s="22"/>
      <c r="AF728" s="22"/>
      <c r="AG728" s="22"/>
      <c r="AH728" s="22"/>
      <c r="AI728" s="24"/>
      <c r="AJ728" s="22"/>
      <c r="AK728" s="22"/>
      <c r="AL728" s="22"/>
    </row>
    <row r="729" spans="1:38" ht="14.25" customHeight="1" x14ac:dyDescent="0.35">
      <c r="A729" s="22"/>
      <c r="B729" s="22"/>
      <c r="C729" s="23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4"/>
      <c r="Z729" s="22"/>
      <c r="AA729" s="22"/>
      <c r="AB729" s="22"/>
      <c r="AC729" s="22"/>
      <c r="AD729" s="22"/>
      <c r="AE729" s="22"/>
      <c r="AF729" s="22"/>
      <c r="AG729" s="22"/>
      <c r="AH729" s="22"/>
      <c r="AI729" s="24"/>
      <c r="AJ729" s="22"/>
      <c r="AK729" s="22"/>
      <c r="AL729" s="22"/>
    </row>
    <row r="730" spans="1:38" ht="14.25" customHeight="1" x14ac:dyDescent="0.35">
      <c r="A730" s="22"/>
      <c r="B730" s="22"/>
      <c r="C730" s="23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4"/>
      <c r="Z730" s="22"/>
      <c r="AA730" s="22"/>
      <c r="AB730" s="22"/>
      <c r="AC730" s="22"/>
      <c r="AD730" s="22"/>
      <c r="AE730" s="22"/>
      <c r="AF730" s="22"/>
      <c r="AG730" s="22"/>
      <c r="AH730" s="22"/>
      <c r="AI730" s="24"/>
      <c r="AJ730" s="22"/>
      <c r="AK730" s="22"/>
      <c r="AL730" s="22"/>
    </row>
    <row r="731" spans="1:38" ht="14.25" customHeight="1" x14ac:dyDescent="0.35">
      <c r="A731" s="22"/>
      <c r="B731" s="22"/>
      <c r="C731" s="23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4"/>
      <c r="Z731" s="22"/>
      <c r="AA731" s="22"/>
      <c r="AB731" s="22"/>
      <c r="AC731" s="22"/>
      <c r="AD731" s="22"/>
      <c r="AE731" s="22"/>
      <c r="AF731" s="22"/>
      <c r="AG731" s="22"/>
      <c r="AH731" s="22"/>
      <c r="AI731" s="24"/>
      <c r="AJ731" s="22"/>
      <c r="AK731" s="22"/>
      <c r="AL731" s="22"/>
    </row>
    <row r="732" spans="1:38" ht="14.25" customHeight="1" x14ac:dyDescent="0.35">
      <c r="A732" s="22"/>
      <c r="B732" s="22"/>
      <c r="C732" s="23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4"/>
      <c r="Z732" s="22"/>
      <c r="AA732" s="22"/>
      <c r="AB732" s="22"/>
      <c r="AC732" s="22"/>
      <c r="AD732" s="22"/>
      <c r="AE732" s="22"/>
      <c r="AF732" s="22"/>
      <c r="AG732" s="22"/>
      <c r="AH732" s="22"/>
      <c r="AI732" s="24"/>
      <c r="AJ732" s="22"/>
      <c r="AK732" s="22"/>
      <c r="AL732" s="22"/>
    </row>
    <row r="733" spans="1:38" ht="14.25" customHeight="1" x14ac:dyDescent="0.35">
      <c r="A733" s="22"/>
      <c r="B733" s="22"/>
      <c r="C733" s="23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4"/>
      <c r="Z733" s="22"/>
      <c r="AA733" s="22"/>
      <c r="AB733" s="22"/>
      <c r="AC733" s="22"/>
      <c r="AD733" s="22"/>
      <c r="AE733" s="22"/>
      <c r="AF733" s="22"/>
      <c r="AG733" s="22"/>
      <c r="AH733" s="22"/>
      <c r="AI733" s="24"/>
      <c r="AJ733" s="22"/>
      <c r="AK733" s="22"/>
      <c r="AL733" s="22"/>
    </row>
    <row r="734" spans="1:38" ht="14.25" customHeight="1" x14ac:dyDescent="0.35">
      <c r="A734" s="22"/>
      <c r="B734" s="22"/>
      <c r="C734" s="23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4"/>
      <c r="Z734" s="22"/>
      <c r="AA734" s="22"/>
      <c r="AB734" s="22"/>
      <c r="AC734" s="22"/>
      <c r="AD734" s="22"/>
      <c r="AE734" s="22"/>
      <c r="AF734" s="22"/>
      <c r="AG734" s="22"/>
      <c r="AH734" s="22"/>
      <c r="AI734" s="24"/>
      <c r="AJ734" s="22"/>
      <c r="AK734" s="22"/>
      <c r="AL734" s="22"/>
    </row>
    <row r="735" spans="1:38" ht="14.25" customHeight="1" x14ac:dyDescent="0.35">
      <c r="A735" s="22"/>
      <c r="B735" s="22"/>
      <c r="C735" s="23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4"/>
      <c r="Z735" s="22"/>
      <c r="AA735" s="22"/>
      <c r="AB735" s="22"/>
      <c r="AC735" s="22"/>
      <c r="AD735" s="22"/>
      <c r="AE735" s="22"/>
      <c r="AF735" s="22"/>
      <c r="AG735" s="22"/>
      <c r="AH735" s="22"/>
      <c r="AI735" s="24"/>
      <c r="AJ735" s="22"/>
      <c r="AK735" s="22"/>
      <c r="AL735" s="22"/>
    </row>
    <row r="736" spans="1:38" ht="14.25" customHeight="1" x14ac:dyDescent="0.35">
      <c r="A736" s="22"/>
      <c r="B736" s="22"/>
      <c r="C736" s="23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4"/>
      <c r="Z736" s="22"/>
      <c r="AA736" s="22"/>
      <c r="AB736" s="22"/>
      <c r="AC736" s="22"/>
      <c r="AD736" s="22"/>
      <c r="AE736" s="22"/>
      <c r="AF736" s="22"/>
      <c r="AG736" s="22"/>
      <c r="AH736" s="22"/>
      <c r="AI736" s="24"/>
      <c r="AJ736" s="22"/>
      <c r="AK736" s="22"/>
      <c r="AL736" s="22"/>
    </row>
    <row r="737" spans="1:38" ht="14.25" customHeight="1" x14ac:dyDescent="0.35">
      <c r="A737" s="22"/>
      <c r="B737" s="22"/>
      <c r="C737" s="23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4"/>
      <c r="Z737" s="22"/>
      <c r="AA737" s="22"/>
      <c r="AB737" s="22"/>
      <c r="AC737" s="22"/>
      <c r="AD737" s="22"/>
      <c r="AE737" s="22"/>
      <c r="AF737" s="22"/>
      <c r="AG737" s="22"/>
      <c r="AH737" s="22"/>
      <c r="AI737" s="24"/>
      <c r="AJ737" s="22"/>
      <c r="AK737" s="22"/>
      <c r="AL737" s="22"/>
    </row>
    <row r="738" spans="1:38" ht="14.25" customHeight="1" x14ac:dyDescent="0.35">
      <c r="A738" s="22"/>
      <c r="B738" s="22"/>
      <c r="C738" s="23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4"/>
      <c r="Z738" s="22"/>
      <c r="AA738" s="22"/>
      <c r="AB738" s="22"/>
      <c r="AC738" s="22"/>
      <c r="AD738" s="22"/>
      <c r="AE738" s="22"/>
      <c r="AF738" s="22"/>
      <c r="AG738" s="22"/>
      <c r="AH738" s="22"/>
      <c r="AI738" s="24"/>
      <c r="AJ738" s="22"/>
      <c r="AK738" s="22"/>
      <c r="AL738" s="22"/>
    </row>
    <row r="739" spans="1:38" ht="14.25" customHeight="1" x14ac:dyDescent="0.35">
      <c r="A739" s="22"/>
      <c r="B739" s="22"/>
      <c r="C739" s="23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4"/>
      <c r="Z739" s="22"/>
      <c r="AA739" s="22"/>
      <c r="AB739" s="22"/>
      <c r="AC739" s="22"/>
      <c r="AD739" s="22"/>
      <c r="AE739" s="22"/>
      <c r="AF739" s="22"/>
      <c r="AG739" s="22"/>
      <c r="AH739" s="22"/>
      <c r="AI739" s="24"/>
      <c r="AJ739" s="22"/>
      <c r="AK739" s="22"/>
      <c r="AL739" s="22"/>
    </row>
    <row r="740" spans="1:38" ht="14.25" customHeight="1" x14ac:dyDescent="0.35">
      <c r="A740" s="22"/>
      <c r="B740" s="22"/>
      <c r="C740" s="23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4"/>
      <c r="Z740" s="22"/>
      <c r="AA740" s="22"/>
      <c r="AB740" s="22"/>
      <c r="AC740" s="22"/>
      <c r="AD740" s="22"/>
      <c r="AE740" s="22"/>
      <c r="AF740" s="22"/>
      <c r="AG740" s="22"/>
      <c r="AH740" s="22"/>
      <c r="AI740" s="24"/>
      <c r="AJ740" s="22"/>
      <c r="AK740" s="22"/>
      <c r="AL740" s="22"/>
    </row>
    <row r="741" spans="1:38" ht="14.25" customHeight="1" x14ac:dyDescent="0.35">
      <c r="A741" s="22"/>
      <c r="B741" s="22"/>
      <c r="C741" s="23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4"/>
      <c r="Z741" s="22"/>
      <c r="AA741" s="22"/>
      <c r="AB741" s="22"/>
      <c r="AC741" s="22"/>
      <c r="AD741" s="22"/>
      <c r="AE741" s="22"/>
      <c r="AF741" s="22"/>
      <c r="AG741" s="22"/>
      <c r="AH741" s="22"/>
      <c r="AI741" s="24"/>
      <c r="AJ741" s="22"/>
      <c r="AK741" s="22"/>
      <c r="AL741" s="22"/>
    </row>
    <row r="742" spans="1:38" ht="14.25" customHeight="1" x14ac:dyDescent="0.35">
      <c r="A742" s="22"/>
      <c r="B742" s="22"/>
      <c r="C742" s="23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4"/>
      <c r="Z742" s="22"/>
      <c r="AA742" s="22"/>
      <c r="AB742" s="22"/>
      <c r="AC742" s="22"/>
      <c r="AD742" s="22"/>
      <c r="AE742" s="22"/>
      <c r="AF742" s="22"/>
      <c r="AG742" s="22"/>
      <c r="AH742" s="22"/>
      <c r="AI742" s="24"/>
      <c r="AJ742" s="22"/>
      <c r="AK742" s="22"/>
      <c r="AL742" s="22"/>
    </row>
    <row r="743" spans="1:38" ht="14.25" customHeight="1" x14ac:dyDescent="0.35">
      <c r="A743" s="22"/>
      <c r="B743" s="22"/>
      <c r="C743" s="23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4"/>
      <c r="Z743" s="22"/>
      <c r="AA743" s="22"/>
      <c r="AB743" s="22"/>
      <c r="AC743" s="22"/>
      <c r="AD743" s="22"/>
      <c r="AE743" s="22"/>
      <c r="AF743" s="22"/>
      <c r="AG743" s="22"/>
      <c r="AH743" s="22"/>
      <c r="AI743" s="24"/>
      <c r="AJ743" s="22"/>
      <c r="AK743" s="22"/>
      <c r="AL743" s="22"/>
    </row>
    <row r="744" spans="1:38" ht="14.25" customHeight="1" x14ac:dyDescent="0.35">
      <c r="A744" s="22"/>
      <c r="B744" s="22"/>
      <c r="C744" s="23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4"/>
      <c r="Z744" s="22"/>
      <c r="AA744" s="22"/>
      <c r="AB744" s="22"/>
      <c r="AC744" s="22"/>
      <c r="AD744" s="22"/>
      <c r="AE744" s="22"/>
      <c r="AF744" s="22"/>
      <c r="AG744" s="22"/>
      <c r="AH744" s="22"/>
      <c r="AI744" s="24"/>
      <c r="AJ744" s="22"/>
      <c r="AK744" s="22"/>
      <c r="AL744" s="22"/>
    </row>
    <row r="745" spans="1:38" ht="14.25" customHeight="1" x14ac:dyDescent="0.35">
      <c r="A745" s="22"/>
      <c r="B745" s="22"/>
      <c r="C745" s="23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4"/>
      <c r="Z745" s="22"/>
      <c r="AA745" s="22"/>
      <c r="AB745" s="22"/>
      <c r="AC745" s="22"/>
      <c r="AD745" s="22"/>
      <c r="AE745" s="22"/>
      <c r="AF745" s="22"/>
      <c r="AG745" s="22"/>
      <c r="AH745" s="22"/>
      <c r="AI745" s="24"/>
      <c r="AJ745" s="22"/>
      <c r="AK745" s="22"/>
      <c r="AL745" s="22"/>
    </row>
    <row r="746" spans="1:38" ht="14.25" customHeight="1" x14ac:dyDescent="0.35">
      <c r="A746" s="22"/>
      <c r="B746" s="22"/>
      <c r="C746" s="23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4"/>
      <c r="Z746" s="22"/>
      <c r="AA746" s="22"/>
      <c r="AB746" s="22"/>
      <c r="AC746" s="22"/>
      <c r="AD746" s="22"/>
      <c r="AE746" s="22"/>
      <c r="AF746" s="22"/>
      <c r="AG746" s="22"/>
      <c r="AH746" s="22"/>
      <c r="AI746" s="24"/>
      <c r="AJ746" s="22"/>
      <c r="AK746" s="22"/>
      <c r="AL746" s="22"/>
    </row>
    <row r="747" spans="1:38" ht="14.25" customHeight="1" x14ac:dyDescent="0.35">
      <c r="A747" s="22"/>
      <c r="B747" s="22"/>
      <c r="C747" s="23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4"/>
      <c r="Z747" s="22"/>
      <c r="AA747" s="22"/>
      <c r="AB747" s="22"/>
      <c r="AC747" s="22"/>
      <c r="AD747" s="22"/>
      <c r="AE747" s="22"/>
      <c r="AF747" s="22"/>
      <c r="AG747" s="22"/>
      <c r="AH747" s="22"/>
      <c r="AI747" s="24"/>
      <c r="AJ747" s="22"/>
      <c r="AK747" s="22"/>
      <c r="AL747" s="22"/>
    </row>
    <row r="748" spans="1:38" ht="14.25" customHeight="1" x14ac:dyDescent="0.35">
      <c r="A748" s="22"/>
      <c r="B748" s="22"/>
      <c r="C748" s="23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4"/>
      <c r="Z748" s="22"/>
      <c r="AA748" s="22"/>
      <c r="AB748" s="22"/>
      <c r="AC748" s="22"/>
      <c r="AD748" s="22"/>
      <c r="AE748" s="22"/>
      <c r="AF748" s="22"/>
      <c r="AG748" s="22"/>
      <c r="AH748" s="22"/>
      <c r="AI748" s="24"/>
      <c r="AJ748" s="22"/>
      <c r="AK748" s="22"/>
      <c r="AL748" s="22"/>
    </row>
    <row r="749" spans="1:38" ht="14.25" customHeight="1" x14ac:dyDescent="0.35">
      <c r="A749" s="22"/>
      <c r="B749" s="22"/>
      <c r="C749" s="23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4"/>
      <c r="Z749" s="22"/>
      <c r="AA749" s="22"/>
      <c r="AB749" s="22"/>
      <c r="AC749" s="22"/>
      <c r="AD749" s="22"/>
      <c r="AE749" s="22"/>
      <c r="AF749" s="22"/>
      <c r="AG749" s="22"/>
      <c r="AH749" s="22"/>
      <c r="AI749" s="24"/>
      <c r="AJ749" s="22"/>
      <c r="AK749" s="22"/>
      <c r="AL749" s="22"/>
    </row>
    <row r="750" spans="1:38" ht="14.25" customHeight="1" x14ac:dyDescent="0.35">
      <c r="A750" s="22"/>
      <c r="B750" s="22"/>
      <c r="C750" s="23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4"/>
      <c r="Z750" s="22"/>
      <c r="AA750" s="22"/>
      <c r="AB750" s="22"/>
      <c r="AC750" s="22"/>
      <c r="AD750" s="22"/>
      <c r="AE750" s="22"/>
      <c r="AF750" s="22"/>
      <c r="AG750" s="22"/>
      <c r="AH750" s="22"/>
      <c r="AI750" s="24"/>
      <c r="AJ750" s="22"/>
      <c r="AK750" s="22"/>
      <c r="AL750" s="22"/>
    </row>
    <row r="751" spans="1:38" ht="14.25" customHeight="1" x14ac:dyDescent="0.35">
      <c r="A751" s="22"/>
      <c r="B751" s="22"/>
      <c r="C751" s="23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4"/>
      <c r="Z751" s="22"/>
      <c r="AA751" s="22"/>
      <c r="AB751" s="22"/>
      <c r="AC751" s="22"/>
      <c r="AD751" s="22"/>
      <c r="AE751" s="22"/>
      <c r="AF751" s="22"/>
      <c r="AG751" s="22"/>
      <c r="AH751" s="22"/>
      <c r="AI751" s="24"/>
      <c r="AJ751" s="22"/>
      <c r="AK751" s="22"/>
      <c r="AL751" s="22"/>
    </row>
    <row r="752" spans="1:38" ht="14.25" customHeight="1" x14ac:dyDescent="0.35">
      <c r="A752" s="22"/>
      <c r="B752" s="22"/>
      <c r="C752" s="23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4"/>
      <c r="Z752" s="22"/>
      <c r="AA752" s="22"/>
      <c r="AB752" s="22"/>
      <c r="AC752" s="22"/>
      <c r="AD752" s="22"/>
      <c r="AE752" s="22"/>
      <c r="AF752" s="22"/>
      <c r="AG752" s="22"/>
      <c r="AH752" s="22"/>
      <c r="AI752" s="24"/>
      <c r="AJ752" s="22"/>
      <c r="AK752" s="22"/>
      <c r="AL752" s="22"/>
    </row>
    <row r="753" spans="1:38" ht="14.25" customHeight="1" x14ac:dyDescent="0.35">
      <c r="A753" s="22"/>
      <c r="B753" s="22"/>
      <c r="C753" s="23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4"/>
      <c r="Z753" s="22"/>
      <c r="AA753" s="22"/>
      <c r="AB753" s="22"/>
      <c r="AC753" s="22"/>
      <c r="AD753" s="22"/>
      <c r="AE753" s="22"/>
      <c r="AF753" s="22"/>
      <c r="AG753" s="22"/>
      <c r="AH753" s="22"/>
      <c r="AI753" s="24"/>
      <c r="AJ753" s="22"/>
      <c r="AK753" s="22"/>
      <c r="AL753" s="22"/>
    </row>
    <row r="754" spans="1:38" ht="14.25" customHeight="1" x14ac:dyDescent="0.35">
      <c r="A754" s="22"/>
      <c r="B754" s="22"/>
      <c r="C754" s="23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4"/>
      <c r="Z754" s="22"/>
      <c r="AA754" s="22"/>
      <c r="AB754" s="22"/>
      <c r="AC754" s="22"/>
      <c r="AD754" s="22"/>
      <c r="AE754" s="22"/>
      <c r="AF754" s="22"/>
      <c r="AG754" s="22"/>
      <c r="AH754" s="22"/>
      <c r="AI754" s="24"/>
      <c r="AJ754" s="22"/>
      <c r="AK754" s="22"/>
      <c r="AL754" s="22"/>
    </row>
    <row r="755" spans="1:38" ht="14.25" customHeight="1" x14ac:dyDescent="0.35">
      <c r="A755" s="22"/>
      <c r="B755" s="22"/>
      <c r="C755" s="23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4"/>
      <c r="Z755" s="22"/>
      <c r="AA755" s="22"/>
      <c r="AB755" s="22"/>
      <c r="AC755" s="22"/>
      <c r="AD755" s="22"/>
      <c r="AE755" s="22"/>
      <c r="AF755" s="22"/>
      <c r="AG755" s="22"/>
      <c r="AH755" s="22"/>
      <c r="AI755" s="24"/>
      <c r="AJ755" s="22"/>
      <c r="AK755" s="22"/>
      <c r="AL755" s="22"/>
    </row>
    <row r="756" spans="1:38" ht="14.25" customHeight="1" x14ac:dyDescent="0.35">
      <c r="A756" s="22"/>
      <c r="B756" s="22"/>
      <c r="C756" s="23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4"/>
      <c r="Z756" s="22"/>
      <c r="AA756" s="22"/>
      <c r="AB756" s="22"/>
      <c r="AC756" s="22"/>
      <c r="AD756" s="22"/>
      <c r="AE756" s="22"/>
      <c r="AF756" s="22"/>
      <c r="AG756" s="22"/>
      <c r="AH756" s="22"/>
      <c r="AI756" s="24"/>
      <c r="AJ756" s="22"/>
      <c r="AK756" s="22"/>
      <c r="AL756" s="22"/>
    </row>
    <row r="757" spans="1:38" ht="14.25" customHeight="1" x14ac:dyDescent="0.35">
      <c r="A757" s="22"/>
      <c r="B757" s="22"/>
      <c r="C757" s="23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4"/>
      <c r="Z757" s="22"/>
      <c r="AA757" s="22"/>
      <c r="AB757" s="22"/>
      <c r="AC757" s="22"/>
      <c r="AD757" s="22"/>
      <c r="AE757" s="22"/>
      <c r="AF757" s="22"/>
      <c r="AG757" s="22"/>
      <c r="AH757" s="22"/>
      <c r="AI757" s="24"/>
      <c r="AJ757" s="22"/>
      <c r="AK757" s="22"/>
      <c r="AL757" s="22"/>
    </row>
    <row r="758" spans="1:38" ht="14.25" customHeight="1" x14ac:dyDescent="0.35">
      <c r="A758" s="22"/>
      <c r="B758" s="22"/>
      <c r="C758" s="23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4"/>
      <c r="Z758" s="22"/>
      <c r="AA758" s="22"/>
      <c r="AB758" s="22"/>
      <c r="AC758" s="22"/>
      <c r="AD758" s="22"/>
      <c r="AE758" s="22"/>
      <c r="AF758" s="22"/>
      <c r="AG758" s="22"/>
      <c r="AH758" s="22"/>
      <c r="AI758" s="24"/>
      <c r="AJ758" s="22"/>
      <c r="AK758" s="22"/>
      <c r="AL758" s="22"/>
    </row>
    <row r="759" spans="1:38" ht="14.25" customHeight="1" x14ac:dyDescent="0.35">
      <c r="A759" s="22"/>
      <c r="B759" s="22"/>
      <c r="C759" s="23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4"/>
      <c r="Z759" s="22"/>
      <c r="AA759" s="22"/>
      <c r="AB759" s="22"/>
      <c r="AC759" s="22"/>
      <c r="AD759" s="22"/>
      <c r="AE759" s="22"/>
      <c r="AF759" s="22"/>
      <c r="AG759" s="22"/>
      <c r="AH759" s="22"/>
      <c r="AI759" s="24"/>
      <c r="AJ759" s="22"/>
      <c r="AK759" s="22"/>
      <c r="AL759" s="22"/>
    </row>
    <row r="760" spans="1:38" ht="14.25" customHeight="1" x14ac:dyDescent="0.35">
      <c r="A760" s="22"/>
      <c r="B760" s="22"/>
      <c r="C760" s="23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4"/>
      <c r="Z760" s="22"/>
      <c r="AA760" s="22"/>
      <c r="AB760" s="22"/>
      <c r="AC760" s="22"/>
      <c r="AD760" s="22"/>
      <c r="AE760" s="22"/>
      <c r="AF760" s="22"/>
      <c r="AG760" s="22"/>
      <c r="AH760" s="22"/>
      <c r="AI760" s="24"/>
      <c r="AJ760" s="22"/>
      <c r="AK760" s="22"/>
      <c r="AL760" s="22"/>
    </row>
    <row r="761" spans="1:38" ht="14.25" customHeight="1" x14ac:dyDescent="0.35">
      <c r="A761" s="22"/>
      <c r="B761" s="22"/>
      <c r="C761" s="23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4"/>
      <c r="Z761" s="22"/>
      <c r="AA761" s="22"/>
      <c r="AB761" s="22"/>
      <c r="AC761" s="22"/>
      <c r="AD761" s="22"/>
      <c r="AE761" s="22"/>
      <c r="AF761" s="22"/>
      <c r="AG761" s="22"/>
      <c r="AH761" s="22"/>
      <c r="AI761" s="24"/>
      <c r="AJ761" s="22"/>
      <c r="AK761" s="22"/>
      <c r="AL761" s="22"/>
    </row>
    <row r="762" spans="1:38" ht="14.25" customHeight="1" x14ac:dyDescent="0.35">
      <c r="A762" s="22"/>
      <c r="B762" s="22"/>
      <c r="C762" s="23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4"/>
      <c r="Z762" s="22"/>
      <c r="AA762" s="22"/>
      <c r="AB762" s="22"/>
      <c r="AC762" s="22"/>
      <c r="AD762" s="22"/>
      <c r="AE762" s="22"/>
      <c r="AF762" s="22"/>
      <c r="AG762" s="22"/>
      <c r="AH762" s="22"/>
      <c r="AI762" s="24"/>
      <c r="AJ762" s="22"/>
      <c r="AK762" s="22"/>
      <c r="AL762" s="22"/>
    </row>
    <row r="763" spans="1:38" ht="14.25" customHeight="1" x14ac:dyDescent="0.35">
      <c r="A763" s="22"/>
      <c r="B763" s="22"/>
      <c r="C763" s="23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4"/>
      <c r="Z763" s="22"/>
      <c r="AA763" s="22"/>
      <c r="AB763" s="22"/>
      <c r="AC763" s="22"/>
      <c r="AD763" s="22"/>
      <c r="AE763" s="22"/>
      <c r="AF763" s="22"/>
      <c r="AG763" s="22"/>
      <c r="AH763" s="22"/>
      <c r="AI763" s="24"/>
      <c r="AJ763" s="22"/>
      <c r="AK763" s="22"/>
      <c r="AL763" s="22"/>
    </row>
    <row r="764" spans="1:38" ht="14.25" customHeight="1" x14ac:dyDescent="0.35">
      <c r="A764" s="22"/>
      <c r="B764" s="22"/>
      <c r="C764" s="23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4"/>
      <c r="Z764" s="22"/>
      <c r="AA764" s="22"/>
      <c r="AB764" s="22"/>
      <c r="AC764" s="22"/>
      <c r="AD764" s="22"/>
      <c r="AE764" s="22"/>
      <c r="AF764" s="22"/>
      <c r="AG764" s="22"/>
      <c r="AH764" s="22"/>
      <c r="AI764" s="24"/>
      <c r="AJ764" s="22"/>
      <c r="AK764" s="22"/>
      <c r="AL764" s="22"/>
    </row>
    <row r="765" spans="1:38" ht="14.25" customHeight="1" x14ac:dyDescent="0.35">
      <c r="A765" s="22"/>
      <c r="B765" s="22"/>
      <c r="C765" s="23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4"/>
      <c r="Z765" s="22"/>
      <c r="AA765" s="22"/>
      <c r="AB765" s="22"/>
      <c r="AC765" s="22"/>
      <c r="AD765" s="22"/>
      <c r="AE765" s="22"/>
      <c r="AF765" s="22"/>
      <c r="AG765" s="22"/>
      <c r="AH765" s="22"/>
      <c r="AI765" s="24"/>
      <c r="AJ765" s="22"/>
      <c r="AK765" s="22"/>
      <c r="AL765" s="22"/>
    </row>
    <row r="766" spans="1:38" ht="14.25" customHeight="1" x14ac:dyDescent="0.35">
      <c r="A766" s="22"/>
      <c r="B766" s="22"/>
      <c r="C766" s="23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4"/>
      <c r="Z766" s="22"/>
      <c r="AA766" s="22"/>
      <c r="AB766" s="22"/>
      <c r="AC766" s="22"/>
      <c r="AD766" s="22"/>
      <c r="AE766" s="22"/>
      <c r="AF766" s="22"/>
      <c r="AG766" s="22"/>
      <c r="AH766" s="22"/>
      <c r="AI766" s="24"/>
      <c r="AJ766" s="22"/>
      <c r="AK766" s="22"/>
      <c r="AL766" s="22"/>
    </row>
    <row r="767" spans="1:38" ht="14.25" customHeight="1" x14ac:dyDescent="0.35">
      <c r="A767" s="22"/>
      <c r="B767" s="22"/>
      <c r="C767" s="23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4"/>
      <c r="Z767" s="22"/>
      <c r="AA767" s="22"/>
      <c r="AB767" s="22"/>
      <c r="AC767" s="22"/>
      <c r="AD767" s="22"/>
      <c r="AE767" s="22"/>
      <c r="AF767" s="22"/>
      <c r="AG767" s="22"/>
      <c r="AH767" s="22"/>
      <c r="AI767" s="24"/>
      <c r="AJ767" s="22"/>
      <c r="AK767" s="22"/>
      <c r="AL767" s="22"/>
    </row>
    <row r="768" spans="1:38" ht="14.25" customHeight="1" x14ac:dyDescent="0.35">
      <c r="A768" s="22"/>
      <c r="B768" s="22"/>
      <c r="C768" s="23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4"/>
      <c r="Z768" s="22"/>
      <c r="AA768" s="22"/>
      <c r="AB768" s="22"/>
      <c r="AC768" s="22"/>
      <c r="AD768" s="22"/>
      <c r="AE768" s="22"/>
      <c r="AF768" s="22"/>
      <c r="AG768" s="22"/>
      <c r="AH768" s="22"/>
      <c r="AI768" s="24"/>
      <c r="AJ768" s="22"/>
      <c r="AK768" s="22"/>
      <c r="AL768" s="22"/>
    </row>
    <row r="769" spans="1:38" ht="14.25" customHeight="1" x14ac:dyDescent="0.35">
      <c r="A769" s="22"/>
      <c r="B769" s="22"/>
      <c r="C769" s="23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4"/>
      <c r="Z769" s="22"/>
      <c r="AA769" s="22"/>
      <c r="AB769" s="22"/>
      <c r="AC769" s="22"/>
      <c r="AD769" s="22"/>
      <c r="AE769" s="22"/>
      <c r="AF769" s="22"/>
      <c r="AG769" s="22"/>
      <c r="AH769" s="22"/>
      <c r="AI769" s="24"/>
      <c r="AJ769" s="22"/>
      <c r="AK769" s="22"/>
      <c r="AL769" s="22"/>
    </row>
    <row r="770" spans="1:38" ht="14.25" customHeight="1" x14ac:dyDescent="0.35">
      <c r="A770" s="22"/>
      <c r="B770" s="22"/>
      <c r="C770" s="23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4"/>
      <c r="Z770" s="22"/>
      <c r="AA770" s="22"/>
      <c r="AB770" s="22"/>
      <c r="AC770" s="22"/>
      <c r="AD770" s="22"/>
      <c r="AE770" s="22"/>
      <c r="AF770" s="22"/>
      <c r="AG770" s="22"/>
      <c r="AH770" s="22"/>
      <c r="AI770" s="24"/>
      <c r="AJ770" s="22"/>
      <c r="AK770" s="22"/>
      <c r="AL770" s="22"/>
    </row>
    <row r="771" spans="1:38" ht="14.25" customHeight="1" x14ac:dyDescent="0.35">
      <c r="A771" s="22"/>
      <c r="B771" s="22"/>
      <c r="C771" s="23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4"/>
      <c r="Z771" s="22"/>
      <c r="AA771" s="22"/>
      <c r="AB771" s="22"/>
      <c r="AC771" s="22"/>
      <c r="AD771" s="22"/>
      <c r="AE771" s="22"/>
      <c r="AF771" s="22"/>
      <c r="AG771" s="22"/>
      <c r="AH771" s="22"/>
      <c r="AI771" s="24"/>
      <c r="AJ771" s="22"/>
      <c r="AK771" s="22"/>
      <c r="AL771" s="22"/>
    </row>
    <row r="772" spans="1:38" ht="14.25" customHeight="1" x14ac:dyDescent="0.35">
      <c r="A772" s="22"/>
      <c r="B772" s="22"/>
      <c r="C772" s="23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4"/>
      <c r="Z772" s="22"/>
      <c r="AA772" s="22"/>
      <c r="AB772" s="22"/>
      <c r="AC772" s="22"/>
      <c r="AD772" s="22"/>
      <c r="AE772" s="22"/>
      <c r="AF772" s="22"/>
      <c r="AG772" s="22"/>
      <c r="AH772" s="22"/>
      <c r="AI772" s="24"/>
      <c r="AJ772" s="22"/>
      <c r="AK772" s="22"/>
      <c r="AL772" s="22"/>
    </row>
    <row r="773" spans="1:38" ht="14.25" customHeight="1" x14ac:dyDescent="0.35">
      <c r="A773" s="22"/>
      <c r="B773" s="22"/>
      <c r="C773" s="23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4"/>
      <c r="Z773" s="22"/>
      <c r="AA773" s="22"/>
      <c r="AB773" s="22"/>
      <c r="AC773" s="22"/>
      <c r="AD773" s="22"/>
      <c r="AE773" s="22"/>
      <c r="AF773" s="22"/>
      <c r="AG773" s="22"/>
      <c r="AH773" s="22"/>
      <c r="AI773" s="24"/>
      <c r="AJ773" s="22"/>
      <c r="AK773" s="22"/>
      <c r="AL773" s="22"/>
    </row>
    <row r="774" spans="1:38" ht="14.25" customHeight="1" x14ac:dyDescent="0.35">
      <c r="A774" s="22"/>
      <c r="B774" s="22"/>
      <c r="C774" s="23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4"/>
      <c r="Z774" s="22"/>
      <c r="AA774" s="22"/>
      <c r="AB774" s="22"/>
      <c r="AC774" s="22"/>
      <c r="AD774" s="22"/>
      <c r="AE774" s="22"/>
      <c r="AF774" s="22"/>
      <c r="AG774" s="22"/>
      <c r="AH774" s="22"/>
      <c r="AI774" s="24"/>
      <c r="AJ774" s="22"/>
      <c r="AK774" s="22"/>
      <c r="AL774" s="22"/>
    </row>
    <row r="775" spans="1:38" ht="14.25" customHeight="1" x14ac:dyDescent="0.35">
      <c r="A775" s="22"/>
      <c r="B775" s="22"/>
      <c r="C775" s="23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4"/>
      <c r="Z775" s="22"/>
      <c r="AA775" s="22"/>
      <c r="AB775" s="22"/>
      <c r="AC775" s="22"/>
      <c r="AD775" s="22"/>
      <c r="AE775" s="22"/>
      <c r="AF775" s="22"/>
      <c r="AG775" s="22"/>
      <c r="AH775" s="22"/>
      <c r="AI775" s="24"/>
      <c r="AJ775" s="22"/>
      <c r="AK775" s="22"/>
      <c r="AL775" s="22"/>
    </row>
    <row r="776" spans="1:38" ht="14.25" customHeight="1" x14ac:dyDescent="0.35">
      <c r="A776" s="22"/>
      <c r="B776" s="22"/>
      <c r="C776" s="23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4"/>
      <c r="Z776" s="22"/>
      <c r="AA776" s="22"/>
      <c r="AB776" s="22"/>
      <c r="AC776" s="22"/>
      <c r="AD776" s="22"/>
      <c r="AE776" s="22"/>
      <c r="AF776" s="22"/>
      <c r="AG776" s="22"/>
      <c r="AH776" s="22"/>
      <c r="AI776" s="24"/>
      <c r="AJ776" s="22"/>
      <c r="AK776" s="22"/>
      <c r="AL776" s="22"/>
    </row>
    <row r="777" spans="1:38" ht="14.25" customHeight="1" x14ac:dyDescent="0.35">
      <c r="A777" s="22"/>
      <c r="B777" s="22"/>
      <c r="C777" s="23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4"/>
      <c r="Z777" s="22"/>
      <c r="AA777" s="22"/>
      <c r="AB777" s="22"/>
      <c r="AC777" s="22"/>
      <c r="AD777" s="22"/>
      <c r="AE777" s="22"/>
      <c r="AF777" s="22"/>
      <c r="AG777" s="22"/>
      <c r="AH777" s="22"/>
      <c r="AI777" s="24"/>
      <c r="AJ777" s="22"/>
      <c r="AK777" s="22"/>
      <c r="AL777" s="22"/>
    </row>
    <row r="778" spans="1:38" ht="14.25" customHeight="1" x14ac:dyDescent="0.35">
      <c r="A778" s="22"/>
      <c r="B778" s="22"/>
      <c r="C778" s="23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4"/>
      <c r="Z778" s="22"/>
      <c r="AA778" s="22"/>
      <c r="AB778" s="22"/>
      <c r="AC778" s="22"/>
      <c r="AD778" s="22"/>
      <c r="AE778" s="22"/>
      <c r="AF778" s="22"/>
      <c r="AG778" s="22"/>
      <c r="AH778" s="22"/>
      <c r="AI778" s="24"/>
      <c r="AJ778" s="22"/>
      <c r="AK778" s="22"/>
      <c r="AL778" s="22"/>
    </row>
    <row r="779" spans="1:38" ht="14.25" customHeight="1" x14ac:dyDescent="0.35">
      <c r="A779" s="22"/>
      <c r="B779" s="22"/>
      <c r="C779" s="23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4"/>
      <c r="Z779" s="22"/>
      <c r="AA779" s="22"/>
      <c r="AB779" s="22"/>
      <c r="AC779" s="22"/>
      <c r="AD779" s="22"/>
      <c r="AE779" s="22"/>
      <c r="AF779" s="22"/>
      <c r="AG779" s="22"/>
      <c r="AH779" s="22"/>
      <c r="AI779" s="24"/>
      <c r="AJ779" s="22"/>
      <c r="AK779" s="22"/>
      <c r="AL779" s="22"/>
    </row>
    <row r="780" spans="1:38" ht="14.25" customHeight="1" x14ac:dyDescent="0.35">
      <c r="A780" s="22"/>
      <c r="B780" s="22"/>
      <c r="C780" s="23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4"/>
      <c r="Z780" s="22"/>
      <c r="AA780" s="22"/>
      <c r="AB780" s="22"/>
      <c r="AC780" s="22"/>
      <c r="AD780" s="22"/>
      <c r="AE780" s="22"/>
      <c r="AF780" s="22"/>
      <c r="AG780" s="22"/>
      <c r="AH780" s="22"/>
      <c r="AI780" s="24"/>
      <c r="AJ780" s="22"/>
      <c r="AK780" s="22"/>
      <c r="AL780" s="22"/>
    </row>
    <row r="781" spans="1:38" ht="14.25" customHeight="1" x14ac:dyDescent="0.35">
      <c r="A781" s="22"/>
      <c r="B781" s="22"/>
      <c r="C781" s="23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4"/>
      <c r="Z781" s="22"/>
      <c r="AA781" s="22"/>
      <c r="AB781" s="22"/>
      <c r="AC781" s="22"/>
      <c r="AD781" s="22"/>
      <c r="AE781" s="22"/>
      <c r="AF781" s="22"/>
      <c r="AG781" s="22"/>
      <c r="AH781" s="22"/>
      <c r="AI781" s="24"/>
      <c r="AJ781" s="22"/>
      <c r="AK781" s="22"/>
      <c r="AL781" s="22"/>
    </row>
    <row r="782" spans="1:38" ht="14.25" customHeight="1" x14ac:dyDescent="0.35">
      <c r="A782" s="22"/>
      <c r="B782" s="22"/>
      <c r="C782" s="23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4"/>
      <c r="Z782" s="22"/>
      <c r="AA782" s="22"/>
      <c r="AB782" s="22"/>
      <c r="AC782" s="22"/>
      <c r="AD782" s="22"/>
      <c r="AE782" s="22"/>
      <c r="AF782" s="22"/>
      <c r="AG782" s="22"/>
      <c r="AH782" s="22"/>
      <c r="AI782" s="24"/>
      <c r="AJ782" s="22"/>
      <c r="AK782" s="22"/>
      <c r="AL782" s="22"/>
    </row>
    <row r="783" spans="1:38" ht="14.25" customHeight="1" x14ac:dyDescent="0.35">
      <c r="A783" s="22"/>
      <c r="B783" s="22"/>
      <c r="C783" s="23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4"/>
      <c r="Z783" s="22"/>
      <c r="AA783" s="22"/>
      <c r="AB783" s="22"/>
      <c r="AC783" s="22"/>
      <c r="AD783" s="22"/>
      <c r="AE783" s="22"/>
      <c r="AF783" s="22"/>
      <c r="AG783" s="22"/>
      <c r="AH783" s="22"/>
      <c r="AI783" s="24"/>
      <c r="AJ783" s="22"/>
      <c r="AK783" s="22"/>
      <c r="AL783" s="22"/>
    </row>
    <row r="784" spans="1:38" ht="14.25" customHeight="1" x14ac:dyDescent="0.35">
      <c r="A784" s="22"/>
      <c r="B784" s="22"/>
      <c r="C784" s="23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4"/>
      <c r="Z784" s="22"/>
      <c r="AA784" s="22"/>
      <c r="AB784" s="22"/>
      <c r="AC784" s="22"/>
      <c r="AD784" s="22"/>
      <c r="AE784" s="22"/>
      <c r="AF784" s="22"/>
      <c r="AG784" s="22"/>
      <c r="AH784" s="22"/>
      <c r="AI784" s="24"/>
      <c r="AJ784" s="22"/>
      <c r="AK784" s="22"/>
      <c r="AL784" s="22"/>
    </row>
    <row r="785" spans="1:38" ht="14.25" customHeight="1" x14ac:dyDescent="0.35">
      <c r="A785" s="22"/>
      <c r="B785" s="22"/>
      <c r="C785" s="23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4"/>
      <c r="Z785" s="22"/>
      <c r="AA785" s="22"/>
      <c r="AB785" s="22"/>
      <c r="AC785" s="22"/>
      <c r="AD785" s="22"/>
      <c r="AE785" s="22"/>
      <c r="AF785" s="22"/>
      <c r="AG785" s="22"/>
      <c r="AH785" s="22"/>
      <c r="AI785" s="24"/>
      <c r="AJ785" s="22"/>
      <c r="AK785" s="22"/>
      <c r="AL785" s="22"/>
    </row>
    <row r="786" spans="1:38" ht="14.25" customHeight="1" x14ac:dyDescent="0.35">
      <c r="A786" s="22"/>
      <c r="B786" s="22"/>
      <c r="C786" s="23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4"/>
      <c r="Z786" s="22"/>
      <c r="AA786" s="22"/>
      <c r="AB786" s="22"/>
      <c r="AC786" s="22"/>
      <c r="AD786" s="22"/>
      <c r="AE786" s="22"/>
      <c r="AF786" s="22"/>
      <c r="AG786" s="22"/>
      <c r="AH786" s="22"/>
      <c r="AI786" s="24"/>
      <c r="AJ786" s="22"/>
      <c r="AK786" s="22"/>
      <c r="AL786" s="22"/>
    </row>
    <row r="787" spans="1:38" ht="14.25" customHeight="1" x14ac:dyDescent="0.35">
      <c r="A787" s="22"/>
      <c r="B787" s="22"/>
      <c r="C787" s="23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4"/>
      <c r="Z787" s="22"/>
      <c r="AA787" s="22"/>
      <c r="AB787" s="22"/>
      <c r="AC787" s="22"/>
      <c r="AD787" s="22"/>
      <c r="AE787" s="22"/>
      <c r="AF787" s="22"/>
      <c r="AG787" s="22"/>
      <c r="AH787" s="22"/>
      <c r="AI787" s="24"/>
      <c r="AJ787" s="22"/>
      <c r="AK787" s="22"/>
      <c r="AL787" s="22"/>
    </row>
    <row r="788" spans="1:38" ht="14.25" customHeight="1" x14ac:dyDescent="0.35">
      <c r="A788" s="22"/>
      <c r="B788" s="22"/>
      <c r="C788" s="23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4"/>
      <c r="Z788" s="22"/>
      <c r="AA788" s="22"/>
      <c r="AB788" s="22"/>
      <c r="AC788" s="22"/>
      <c r="AD788" s="22"/>
      <c r="AE788" s="22"/>
      <c r="AF788" s="22"/>
      <c r="AG788" s="22"/>
      <c r="AH788" s="22"/>
      <c r="AI788" s="24"/>
      <c r="AJ788" s="22"/>
      <c r="AK788" s="22"/>
      <c r="AL788" s="22"/>
    </row>
    <row r="789" spans="1:38" ht="14.25" customHeight="1" x14ac:dyDescent="0.35">
      <c r="A789" s="22"/>
      <c r="B789" s="22"/>
      <c r="C789" s="23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4"/>
      <c r="Z789" s="22"/>
      <c r="AA789" s="22"/>
      <c r="AB789" s="22"/>
      <c r="AC789" s="22"/>
      <c r="AD789" s="22"/>
      <c r="AE789" s="22"/>
      <c r="AF789" s="22"/>
      <c r="AG789" s="22"/>
      <c r="AH789" s="22"/>
      <c r="AI789" s="24"/>
      <c r="AJ789" s="22"/>
      <c r="AK789" s="22"/>
      <c r="AL789" s="22"/>
    </row>
    <row r="790" spans="1:38" ht="14.25" customHeight="1" x14ac:dyDescent="0.35">
      <c r="A790" s="22"/>
      <c r="B790" s="22"/>
      <c r="C790" s="23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4"/>
      <c r="Z790" s="22"/>
      <c r="AA790" s="22"/>
      <c r="AB790" s="22"/>
      <c r="AC790" s="22"/>
      <c r="AD790" s="22"/>
      <c r="AE790" s="22"/>
      <c r="AF790" s="22"/>
      <c r="AG790" s="22"/>
      <c r="AH790" s="22"/>
      <c r="AI790" s="24"/>
      <c r="AJ790" s="22"/>
      <c r="AK790" s="22"/>
      <c r="AL790" s="22"/>
    </row>
    <row r="791" spans="1:38" ht="14.25" customHeight="1" x14ac:dyDescent="0.35">
      <c r="A791" s="22"/>
      <c r="B791" s="22"/>
      <c r="C791" s="23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4"/>
      <c r="Z791" s="22"/>
      <c r="AA791" s="22"/>
      <c r="AB791" s="22"/>
      <c r="AC791" s="22"/>
      <c r="AD791" s="22"/>
      <c r="AE791" s="22"/>
      <c r="AF791" s="22"/>
      <c r="AG791" s="22"/>
      <c r="AH791" s="22"/>
      <c r="AI791" s="24"/>
      <c r="AJ791" s="22"/>
      <c r="AK791" s="22"/>
      <c r="AL791" s="22"/>
    </row>
    <row r="792" spans="1:38" ht="14.25" customHeight="1" x14ac:dyDescent="0.35">
      <c r="A792" s="22"/>
      <c r="B792" s="22"/>
      <c r="C792" s="23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4"/>
      <c r="Z792" s="22"/>
      <c r="AA792" s="22"/>
      <c r="AB792" s="22"/>
      <c r="AC792" s="22"/>
      <c r="AD792" s="22"/>
      <c r="AE792" s="22"/>
      <c r="AF792" s="22"/>
      <c r="AG792" s="22"/>
      <c r="AH792" s="22"/>
      <c r="AI792" s="24"/>
      <c r="AJ792" s="22"/>
      <c r="AK792" s="22"/>
      <c r="AL792" s="22"/>
    </row>
    <row r="793" spans="1:38" ht="14.25" customHeight="1" x14ac:dyDescent="0.35">
      <c r="A793" s="22"/>
      <c r="B793" s="22"/>
      <c r="C793" s="23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4"/>
      <c r="Z793" s="22"/>
      <c r="AA793" s="22"/>
      <c r="AB793" s="22"/>
      <c r="AC793" s="22"/>
      <c r="AD793" s="22"/>
      <c r="AE793" s="22"/>
      <c r="AF793" s="22"/>
      <c r="AG793" s="22"/>
      <c r="AH793" s="22"/>
      <c r="AI793" s="24"/>
      <c r="AJ793" s="22"/>
      <c r="AK793" s="22"/>
      <c r="AL793" s="22"/>
    </row>
    <row r="794" spans="1:38" ht="14.25" customHeight="1" x14ac:dyDescent="0.35">
      <c r="A794" s="22"/>
      <c r="B794" s="22"/>
      <c r="C794" s="23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4"/>
      <c r="Z794" s="22"/>
      <c r="AA794" s="22"/>
      <c r="AB794" s="22"/>
      <c r="AC794" s="22"/>
      <c r="AD794" s="22"/>
      <c r="AE794" s="22"/>
      <c r="AF794" s="22"/>
      <c r="AG794" s="22"/>
      <c r="AH794" s="22"/>
      <c r="AI794" s="24"/>
      <c r="AJ794" s="22"/>
      <c r="AK794" s="22"/>
      <c r="AL794" s="22"/>
    </row>
    <row r="795" spans="1:38" ht="14.25" customHeight="1" x14ac:dyDescent="0.35">
      <c r="A795" s="22"/>
      <c r="B795" s="22"/>
      <c r="C795" s="23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4"/>
      <c r="Z795" s="22"/>
      <c r="AA795" s="22"/>
      <c r="AB795" s="22"/>
      <c r="AC795" s="22"/>
      <c r="AD795" s="22"/>
      <c r="AE795" s="22"/>
      <c r="AF795" s="22"/>
      <c r="AG795" s="22"/>
      <c r="AH795" s="22"/>
      <c r="AI795" s="24"/>
      <c r="AJ795" s="22"/>
      <c r="AK795" s="22"/>
      <c r="AL795" s="22"/>
    </row>
    <row r="796" spans="1:38" ht="14.25" customHeight="1" x14ac:dyDescent="0.35">
      <c r="A796" s="22"/>
      <c r="B796" s="22"/>
      <c r="C796" s="23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4"/>
      <c r="Z796" s="22"/>
      <c r="AA796" s="22"/>
      <c r="AB796" s="22"/>
      <c r="AC796" s="22"/>
      <c r="AD796" s="22"/>
      <c r="AE796" s="22"/>
      <c r="AF796" s="22"/>
      <c r="AG796" s="22"/>
      <c r="AH796" s="22"/>
      <c r="AI796" s="24"/>
      <c r="AJ796" s="22"/>
      <c r="AK796" s="22"/>
      <c r="AL796" s="22"/>
    </row>
    <row r="797" spans="1:38" ht="14.25" customHeight="1" x14ac:dyDescent="0.35">
      <c r="A797" s="22"/>
      <c r="B797" s="22"/>
      <c r="C797" s="23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4"/>
      <c r="Z797" s="22"/>
      <c r="AA797" s="22"/>
      <c r="AB797" s="22"/>
      <c r="AC797" s="22"/>
      <c r="AD797" s="22"/>
      <c r="AE797" s="22"/>
      <c r="AF797" s="22"/>
      <c r="AG797" s="22"/>
      <c r="AH797" s="22"/>
      <c r="AI797" s="24"/>
      <c r="AJ797" s="22"/>
      <c r="AK797" s="22"/>
      <c r="AL797" s="22"/>
    </row>
    <row r="798" spans="1:38" ht="14.25" customHeight="1" x14ac:dyDescent="0.35">
      <c r="A798" s="22"/>
      <c r="B798" s="22"/>
      <c r="C798" s="23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4"/>
      <c r="Z798" s="22"/>
      <c r="AA798" s="22"/>
      <c r="AB798" s="22"/>
      <c r="AC798" s="22"/>
      <c r="AD798" s="22"/>
      <c r="AE798" s="22"/>
      <c r="AF798" s="22"/>
      <c r="AG798" s="22"/>
      <c r="AH798" s="22"/>
      <c r="AI798" s="24"/>
      <c r="AJ798" s="22"/>
      <c r="AK798" s="22"/>
      <c r="AL798" s="22"/>
    </row>
    <row r="799" spans="1:38" ht="14.25" customHeight="1" x14ac:dyDescent="0.35">
      <c r="A799" s="22"/>
      <c r="B799" s="22"/>
      <c r="C799" s="23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4"/>
      <c r="Z799" s="22"/>
      <c r="AA799" s="22"/>
      <c r="AB799" s="22"/>
      <c r="AC799" s="22"/>
      <c r="AD799" s="22"/>
      <c r="AE799" s="22"/>
      <c r="AF799" s="22"/>
      <c r="AG799" s="22"/>
      <c r="AH799" s="22"/>
      <c r="AI799" s="24"/>
      <c r="AJ799" s="22"/>
      <c r="AK799" s="22"/>
      <c r="AL799" s="22"/>
    </row>
    <row r="800" spans="1:38" ht="14.25" customHeight="1" x14ac:dyDescent="0.35">
      <c r="A800" s="22"/>
      <c r="B800" s="22"/>
      <c r="C800" s="23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4"/>
      <c r="Z800" s="22"/>
      <c r="AA800" s="22"/>
      <c r="AB800" s="22"/>
      <c r="AC800" s="22"/>
      <c r="AD800" s="22"/>
      <c r="AE800" s="22"/>
      <c r="AF800" s="22"/>
      <c r="AG800" s="22"/>
      <c r="AH800" s="22"/>
      <c r="AI800" s="24"/>
      <c r="AJ800" s="22"/>
      <c r="AK800" s="22"/>
      <c r="AL800" s="22"/>
    </row>
    <row r="801" spans="1:38" ht="14.25" customHeight="1" x14ac:dyDescent="0.35">
      <c r="A801" s="22"/>
      <c r="B801" s="22"/>
      <c r="C801" s="23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4"/>
      <c r="Z801" s="22"/>
      <c r="AA801" s="22"/>
      <c r="AB801" s="22"/>
      <c r="AC801" s="22"/>
      <c r="AD801" s="22"/>
      <c r="AE801" s="22"/>
      <c r="AF801" s="22"/>
      <c r="AG801" s="22"/>
      <c r="AH801" s="22"/>
      <c r="AI801" s="24"/>
      <c r="AJ801" s="22"/>
      <c r="AK801" s="22"/>
      <c r="AL801" s="22"/>
    </row>
    <row r="802" spans="1:38" ht="14.25" customHeight="1" x14ac:dyDescent="0.35">
      <c r="A802" s="22"/>
      <c r="B802" s="22"/>
      <c r="C802" s="23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4"/>
      <c r="Z802" s="22"/>
      <c r="AA802" s="22"/>
      <c r="AB802" s="22"/>
      <c r="AC802" s="22"/>
      <c r="AD802" s="22"/>
      <c r="AE802" s="22"/>
      <c r="AF802" s="22"/>
      <c r="AG802" s="22"/>
      <c r="AH802" s="22"/>
      <c r="AI802" s="24"/>
      <c r="AJ802" s="22"/>
      <c r="AK802" s="22"/>
      <c r="AL802" s="22"/>
    </row>
    <row r="803" spans="1:38" ht="14.25" customHeight="1" x14ac:dyDescent="0.35">
      <c r="A803" s="22"/>
      <c r="B803" s="22"/>
      <c r="C803" s="23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4"/>
      <c r="Z803" s="22"/>
      <c r="AA803" s="22"/>
      <c r="AB803" s="22"/>
      <c r="AC803" s="22"/>
      <c r="AD803" s="22"/>
      <c r="AE803" s="22"/>
      <c r="AF803" s="22"/>
      <c r="AG803" s="22"/>
      <c r="AH803" s="22"/>
      <c r="AI803" s="24"/>
      <c r="AJ803" s="22"/>
      <c r="AK803" s="22"/>
      <c r="AL803" s="22"/>
    </row>
    <row r="804" spans="1:38" ht="14.25" customHeight="1" x14ac:dyDescent="0.35">
      <c r="A804" s="22"/>
      <c r="B804" s="22"/>
      <c r="C804" s="23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4"/>
      <c r="Z804" s="22"/>
      <c r="AA804" s="22"/>
      <c r="AB804" s="22"/>
      <c r="AC804" s="22"/>
      <c r="AD804" s="22"/>
      <c r="AE804" s="22"/>
      <c r="AF804" s="22"/>
      <c r="AG804" s="22"/>
      <c r="AH804" s="22"/>
      <c r="AI804" s="24"/>
      <c r="AJ804" s="22"/>
      <c r="AK804" s="22"/>
      <c r="AL804" s="22"/>
    </row>
    <row r="805" spans="1:38" ht="14.25" customHeight="1" x14ac:dyDescent="0.35">
      <c r="A805" s="22"/>
      <c r="B805" s="22"/>
      <c r="C805" s="23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4"/>
      <c r="Z805" s="22"/>
      <c r="AA805" s="22"/>
      <c r="AB805" s="22"/>
      <c r="AC805" s="22"/>
      <c r="AD805" s="22"/>
      <c r="AE805" s="22"/>
      <c r="AF805" s="22"/>
      <c r="AG805" s="22"/>
      <c r="AH805" s="22"/>
      <c r="AI805" s="24"/>
      <c r="AJ805" s="22"/>
      <c r="AK805" s="22"/>
      <c r="AL805" s="22"/>
    </row>
    <row r="806" spans="1:38" ht="14.25" customHeight="1" x14ac:dyDescent="0.35">
      <c r="A806" s="22"/>
      <c r="B806" s="22"/>
      <c r="C806" s="23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4"/>
      <c r="Z806" s="22"/>
      <c r="AA806" s="22"/>
      <c r="AB806" s="22"/>
      <c r="AC806" s="22"/>
      <c r="AD806" s="22"/>
      <c r="AE806" s="22"/>
      <c r="AF806" s="22"/>
      <c r="AG806" s="22"/>
      <c r="AH806" s="22"/>
      <c r="AI806" s="24"/>
      <c r="AJ806" s="22"/>
      <c r="AK806" s="22"/>
      <c r="AL806" s="22"/>
    </row>
    <row r="807" spans="1:38" ht="14.25" customHeight="1" x14ac:dyDescent="0.35">
      <c r="A807" s="22"/>
      <c r="B807" s="22"/>
      <c r="C807" s="23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4"/>
      <c r="Z807" s="22"/>
      <c r="AA807" s="22"/>
      <c r="AB807" s="22"/>
      <c r="AC807" s="22"/>
      <c r="AD807" s="22"/>
      <c r="AE807" s="22"/>
      <c r="AF807" s="22"/>
      <c r="AG807" s="22"/>
      <c r="AH807" s="22"/>
      <c r="AI807" s="24"/>
      <c r="AJ807" s="22"/>
      <c r="AK807" s="22"/>
      <c r="AL807" s="22"/>
    </row>
    <row r="808" spans="1:38" ht="14.25" customHeight="1" x14ac:dyDescent="0.35">
      <c r="A808" s="22"/>
      <c r="B808" s="22"/>
      <c r="C808" s="23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4"/>
      <c r="Z808" s="22"/>
      <c r="AA808" s="22"/>
      <c r="AB808" s="22"/>
      <c r="AC808" s="22"/>
      <c r="AD808" s="22"/>
      <c r="AE808" s="22"/>
      <c r="AF808" s="22"/>
      <c r="AG808" s="22"/>
      <c r="AH808" s="22"/>
      <c r="AI808" s="24"/>
      <c r="AJ808" s="22"/>
      <c r="AK808" s="22"/>
      <c r="AL808" s="22"/>
    </row>
    <row r="809" spans="1:38" ht="14.25" customHeight="1" x14ac:dyDescent="0.35">
      <c r="A809" s="22"/>
      <c r="B809" s="22"/>
      <c r="C809" s="23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4"/>
      <c r="Z809" s="22"/>
      <c r="AA809" s="22"/>
      <c r="AB809" s="22"/>
      <c r="AC809" s="22"/>
      <c r="AD809" s="22"/>
      <c r="AE809" s="22"/>
      <c r="AF809" s="22"/>
      <c r="AG809" s="22"/>
      <c r="AH809" s="22"/>
      <c r="AI809" s="24"/>
      <c r="AJ809" s="22"/>
      <c r="AK809" s="22"/>
      <c r="AL809" s="22"/>
    </row>
    <row r="810" spans="1:38" ht="14.25" customHeight="1" x14ac:dyDescent="0.35">
      <c r="A810" s="22"/>
      <c r="B810" s="22"/>
      <c r="C810" s="23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4"/>
      <c r="Z810" s="22"/>
      <c r="AA810" s="22"/>
      <c r="AB810" s="22"/>
      <c r="AC810" s="22"/>
      <c r="AD810" s="22"/>
      <c r="AE810" s="22"/>
      <c r="AF810" s="22"/>
      <c r="AG810" s="22"/>
      <c r="AH810" s="22"/>
      <c r="AI810" s="24"/>
      <c r="AJ810" s="22"/>
      <c r="AK810" s="22"/>
      <c r="AL810" s="22"/>
    </row>
    <row r="811" spans="1:38" ht="14.25" customHeight="1" x14ac:dyDescent="0.35">
      <c r="A811" s="22"/>
      <c r="B811" s="22"/>
      <c r="C811" s="23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4"/>
      <c r="Z811" s="22"/>
      <c r="AA811" s="22"/>
      <c r="AB811" s="22"/>
      <c r="AC811" s="22"/>
      <c r="AD811" s="22"/>
      <c r="AE811" s="22"/>
      <c r="AF811" s="22"/>
      <c r="AG811" s="22"/>
      <c r="AH811" s="22"/>
      <c r="AI811" s="24"/>
      <c r="AJ811" s="22"/>
      <c r="AK811" s="22"/>
      <c r="AL811" s="22"/>
    </row>
    <row r="812" spans="1:38" ht="14.25" customHeight="1" x14ac:dyDescent="0.35">
      <c r="A812" s="22"/>
      <c r="B812" s="22"/>
      <c r="C812" s="23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4"/>
      <c r="Z812" s="22"/>
      <c r="AA812" s="22"/>
      <c r="AB812" s="22"/>
      <c r="AC812" s="22"/>
      <c r="AD812" s="22"/>
      <c r="AE812" s="22"/>
      <c r="AF812" s="22"/>
      <c r="AG812" s="22"/>
      <c r="AH812" s="22"/>
      <c r="AI812" s="24"/>
      <c r="AJ812" s="22"/>
      <c r="AK812" s="22"/>
      <c r="AL812" s="22"/>
    </row>
    <row r="813" spans="1:38" ht="14.25" customHeight="1" x14ac:dyDescent="0.35">
      <c r="A813" s="22"/>
      <c r="B813" s="22"/>
      <c r="C813" s="23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4"/>
      <c r="Z813" s="22"/>
      <c r="AA813" s="22"/>
      <c r="AB813" s="22"/>
      <c r="AC813" s="22"/>
      <c r="AD813" s="22"/>
      <c r="AE813" s="22"/>
      <c r="AF813" s="22"/>
      <c r="AG813" s="22"/>
      <c r="AH813" s="22"/>
      <c r="AI813" s="24"/>
      <c r="AJ813" s="22"/>
      <c r="AK813" s="22"/>
      <c r="AL813" s="22"/>
    </row>
    <row r="814" spans="1:38" ht="14.25" customHeight="1" x14ac:dyDescent="0.35">
      <c r="A814" s="22"/>
      <c r="B814" s="22"/>
      <c r="C814" s="23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4"/>
      <c r="Z814" s="22"/>
      <c r="AA814" s="22"/>
      <c r="AB814" s="22"/>
      <c r="AC814" s="22"/>
      <c r="AD814" s="22"/>
      <c r="AE814" s="22"/>
      <c r="AF814" s="22"/>
      <c r="AG814" s="22"/>
      <c r="AH814" s="22"/>
      <c r="AI814" s="24"/>
      <c r="AJ814" s="22"/>
      <c r="AK814" s="22"/>
      <c r="AL814" s="22"/>
    </row>
    <row r="815" spans="1:38" ht="14.25" customHeight="1" x14ac:dyDescent="0.35">
      <c r="A815" s="22"/>
      <c r="B815" s="22"/>
      <c r="C815" s="23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4"/>
      <c r="Z815" s="22"/>
      <c r="AA815" s="22"/>
      <c r="AB815" s="22"/>
      <c r="AC815" s="22"/>
      <c r="AD815" s="22"/>
      <c r="AE815" s="22"/>
      <c r="AF815" s="22"/>
      <c r="AG815" s="22"/>
      <c r="AH815" s="22"/>
      <c r="AI815" s="24"/>
      <c r="AJ815" s="22"/>
      <c r="AK815" s="22"/>
      <c r="AL815" s="22"/>
    </row>
    <row r="816" spans="1:38" ht="14.25" customHeight="1" x14ac:dyDescent="0.35">
      <c r="A816" s="22"/>
      <c r="B816" s="22"/>
      <c r="C816" s="23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4"/>
      <c r="Z816" s="22"/>
      <c r="AA816" s="22"/>
      <c r="AB816" s="22"/>
      <c r="AC816" s="22"/>
      <c r="AD816" s="22"/>
      <c r="AE816" s="22"/>
      <c r="AF816" s="22"/>
      <c r="AG816" s="22"/>
      <c r="AH816" s="22"/>
      <c r="AI816" s="24"/>
      <c r="AJ816" s="22"/>
      <c r="AK816" s="22"/>
      <c r="AL816" s="22"/>
    </row>
    <row r="817" spans="1:38" ht="14.25" customHeight="1" x14ac:dyDescent="0.35">
      <c r="A817" s="22"/>
      <c r="B817" s="22"/>
      <c r="C817" s="23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4"/>
      <c r="Z817" s="22"/>
      <c r="AA817" s="22"/>
      <c r="AB817" s="22"/>
      <c r="AC817" s="22"/>
      <c r="AD817" s="22"/>
      <c r="AE817" s="22"/>
      <c r="AF817" s="22"/>
      <c r="AG817" s="22"/>
      <c r="AH817" s="22"/>
      <c r="AI817" s="24"/>
      <c r="AJ817" s="22"/>
      <c r="AK817" s="22"/>
      <c r="AL817" s="22"/>
    </row>
    <row r="818" spans="1:38" ht="14.25" customHeight="1" x14ac:dyDescent="0.35">
      <c r="A818" s="22"/>
      <c r="B818" s="22"/>
      <c r="C818" s="23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4"/>
      <c r="Z818" s="22"/>
      <c r="AA818" s="22"/>
      <c r="AB818" s="22"/>
      <c r="AC818" s="22"/>
      <c r="AD818" s="22"/>
      <c r="AE818" s="22"/>
      <c r="AF818" s="22"/>
      <c r="AG818" s="22"/>
      <c r="AH818" s="22"/>
      <c r="AI818" s="24"/>
      <c r="AJ818" s="22"/>
      <c r="AK818" s="22"/>
      <c r="AL818" s="22"/>
    </row>
    <row r="819" spans="1:38" ht="14.25" customHeight="1" x14ac:dyDescent="0.35">
      <c r="A819" s="22"/>
      <c r="B819" s="22"/>
      <c r="C819" s="23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4"/>
      <c r="Z819" s="22"/>
      <c r="AA819" s="22"/>
      <c r="AB819" s="22"/>
      <c r="AC819" s="22"/>
      <c r="AD819" s="22"/>
      <c r="AE819" s="22"/>
      <c r="AF819" s="22"/>
      <c r="AG819" s="22"/>
      <c r="AH819" s="22"/>
      <c r="AI819" s="24"/>
      <c r="AJ819" s="22"/>
      <c r="AK819" s="22"/>
      <c r="AL819" s="22"/>
    </row>
    <row r="820" spans="1:38" ht="14.25" customHeight="1" x14ac:dyDescent="0.35">
      <c r="A820" s="22"/>
      <c r="B820" s="22"/>
      <c r="C820" s="23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4"/>
      <c r="Z820" s="22"/>
      <c r="AA820" s="22"/>
      <c r="AB820" s="22"/>
      <c r="AC820" s="22"/>
      <c r="AD820" s="22"/>
      <c r="AE820" s="22"/>
      <c r="AF820" s="22"/>
      <c r="AG820" s="22"/>
      <c r="AH820" s="22"/>
      <c r="AI820" s="24"/>
      <c r="AJ820" s="22"/>
      <c r="AK820" s="22"/>
      <c r="AL820" s="22"/>
    </row>
    <row r="821" spans="1:38" ht="14.25" customHeight="1" x14ac:dyDescent="0.35">
      <c r="A821" s="22"/>
      <c r="B821" s="22"/>
      <c r="C821" s="23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4"/>
      <c r="Z821" s="22"/>
      <c r="AA821" s="22"/>
      <c r="AB821" s="22"/>
      <c r="AC821" s="22"/>
      <c r="AD821" s="22"/>
      <c r="AE821" s="22"/>
      <c r="AF821" s="22"/>
      <c r="AG821" s="22"/>
      <c r="AH821" s="22"/>
      <c r="AI821" s="24"/>
      <c r="AJ821" s="22"/>
      <c r="AK821" s="22"/>
      <c r="AL821" s="22"/>
    </row>
    <row r="822" spans="1:38" ht="14.25" customHeight="1" x14ac:dyDescent="0.35">
      <c r="A822" s="22"/>
      <c r="B822" s="22"/>
      <c r="C822" s="23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4"/>
      <c r="Z822" s="22"/>
      <c r="AA822" s="22"/>
      <c r="AB822" s="22"/>
      <c r="AC822" s="22"/>
      <c r="AD822" s="22"/>
      <c r="AE822" s="22"/>
      <c r="AF822" s="22"/>
      <c r="AG822" s="22"/>
      <c r="AH822" s="22"/>
      <c r="AI822" s="24"/>
      <c r="AJ822" s="22"/>
      <c r="AK822" s="22"/>
      <c r="AL822" s="22"/>
    </row>
    <row r="823" spans="1:38" ht="14.25" customHeight="1" x14ac:dyDescent="0.35">
      <c r="A823" s="22"/>
      <c r="B823" s="22"/>
      <c r="C823" s="23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4"/>
      <c r="Z823" s="22"/>
      <c r="AA823" s="22"/>
      <c r="AB823" s="22"/>
      <c r="AC823" s="22"/>
      <c r="AD823" s="22"/>
      <c r="AE823" s="22"/>
      <c r="AF823" s="22"/>
      <c r="AG823" s="22"/>
      <c r="AH823" s="22"/>
      <c r="AI823" s="24"/>
      <c r="AJ823" s="22"/>
      <c r="AK823" s="22"/>
      <c r="AL823" s="22"/>
    </row>
    <row r="824" spans="1:38" ht="14.25" customHeight="1" x14ac:dyDescent="0.35">
      <c r="A824" s="22"/>
      <c r="B824" s="22"/>
      <c r="C824" s="23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4"/>
      <c r="Z824" s="22"/>
      <c r="AA824" s="22"/>
      <c r="AB824" s="22"/>
      <c r="AC824" s="22"/>
      <c r="AD824" s="22"/>
      <c r="AE824" s="22"/>
      <c r="AF824" s="22"/>
      <c r="AG824" s="22"/>
      <c r="AH824" s="22"/>
      <c r="AI824" s="24"/>
      <c r="AJ824" s="22"/>
      <c r="AK824" s="22"/>
      <c r="AL824" s="22"/>
    </row>
    <row r="825" spans="1:38" ht="14.25" customHeight="1" x14ac:dyDescent="0.35">
      <c r="A825" s="22"/>
      <c r="B825" s="22"/>
      <c r="C825" s="23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4"/>
      <c r="Z825" s="22"/>
      <c r="AA825" s="22"/>
      <c r="AB825" s="22"/>
      <c r="AC825" s="22"/>
      <c r="AD825" s="22"/>
      <c r="AE825" s="22"/>
      <c r="AF825" s="22"/>
      <c r="AG825" s="22"/>
      <c r="AH825" s="22"/>
      <c r="AI825" s="24"/>
      <c r="AJ825" s="22"/>
      <c r="AK825" s="22"/>
      <c r="AL825" s="22"/>
    </row>
    <row r="826" spans="1:38" ht="14.25" customHeight="1" x14ac:dyDescent="0.35">
      <c r="A826" s="22"/>
      <c r="B826" s="22"/>
      <c r="C826" s="23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4"/>
      <c r="Z826" s="22"/>
      <c r="AA826" s="22"/>
      <c r="AB826" s="22"/>
      <c r="AC826" s="22"/>
      <c r="AD826" s="22"/>
      <c r="AE826" s="22"/>
      <c r="AF826" s="22"/>
      <c r="AG826" s="22"/>
      <c r="AH826" s="22"/>
      <c r="AI826" s="24"/>
      <c r="AJ826" s="22"/>
      <c r="AK826" s="22"/>
      <c r="AL826" s="22"/>
    </row>
    <row r="827" spans="1:38" ht="14.25" customHeight="1" x14ac:dyDescent="0.35">
      <c r="A827" s="22"/>
      <c r="B827" s="22"/>
      <c r="C827" s="23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4"/>
      <c r="Z827" s="22"/>
      <c r="AA827" s="22"/>
      <c r="AB827" s="22"/>
      <c r="AC827" s="22"/>
      <c r="AD827" s="22"/>
      <c r="AE827" s="22"/>
      <c r="AF827" s="22"/>
      <c r="AG827" s="22"/>
      <c r="AH827" s="22"/>
      <c r="AI827" s="24"/>
      <c r="AJ827" s="22"/>
      <c r="AK827" s="22"/>
      <c r="AL827" s="22"/>
    </row>
    <row r="828" spans="1:38" ht="14.25" customHeight="1" x14ac:dyDescent="0.35">
      <c r="A828" s="22"/>
      <c r="B828" s="22"/>
      <c r="C828" s="23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4"/>
      <c r="Z828" s="22"/>
      <c r="AA828" s="22"/>
      <c r="AB828" s="22"/>
      <c r="AC828" s="22"/>
      <c r="AD828" s="22"/>
      <c r="AE828" s="22"/>
      <c r="AF828" s="22"/>
      <c r="AG828" s="22"/>
      <c r="AH828" s="22"/>
      <c r="AI828" s="24"/>
      <c r="AJ828" s="22"/>
      <c r="AK828" s="22"/>
      <c r="AL828" s="22"/>
    </row>
    <row r="829" spans="1:38" ht="14.25" customHeight="1" x14ac:dyDescent="0.35">
      <c r="A829" s="22"/>
      <c r="B829" s="22"/>
      <c r="C829" s="23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4"/>
      <c r="Z829" s="22"/>
      <c r="AA829" s="22"/>
      <c r="AB829" s="22"/>
      <c r="AC829" s="22"/>
      <c r="AD829" s="22"/>
      <c r="AE829" s="22"/>
      <c r="AF829" s="22"/>
      <c r="AG829" s="22"/>
      <c r="AH829" s="22"/>
      <c r="AI829" s="24"/>
      <c r="AJ829" s="22"/>
      <c r="AK829" s="22"/>
      <c r="AL829" s="22"/>
    </row>
    <row r="830" spans="1:38" ht="14.25" customHeight="1" x14ac:dyDescent="0.35">
      <c r="A830" s="22"/>
      <c r="B830" s="22"/>
      <c r="C830" s="23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4"/>
      <c r="Z830" s="22"/>
      <c r="AA830" s="22"/>
      <c r="AB830" s="22"/>
      <c r="AC830" s="22"/>
      <c r="AD830" s="22"/>
      <c r="AE830" s="22"/>
      <c r="AF830" s="22"/>
      <c r="AG830" s="22"/>
      <c r="AH830" s="22"/>
      <c r="AI830" s="24"/>
      <c r="AJ830" s="22"/>
      <c r="AK830" s="22"/>
      <c r="AL830" s="22"/>
    </row>
    <row r="831" spans="1:38" ht="14.25" customHeight="1" x14ac:dyDescent="0.35">
      <c r="A831" s="22"/>
      <c r="B831" s="22"/>
      <c r="C831" s="23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4"/>
      <c r="Z831" s="22"/>
      <c r="AA831" s="22"/>
      <c r="AB831" s="22"/>
      <c r="AC831" s="22"/>
      <c r="AD831" s="22"/>
      <c r="AE831" s="22"/>
      <c r="AF831" s="22"/>
      <c r="AG831" s="22"/>
      <c r="AH831" s="22"/>
      <c r="AI831" s="24"/>
      <c r="AJ831" s="22"/>
      <c r="AK831" s="22"/>
      <c r="AL831" s="22"/>
    </row>
    <row r="832" spans="1:38" ht="14.25" customHeight="1" x14ac:dyDescent="0.35">
      <c r="A832" s="22"/>
      <c r="B832" s="22"/>
      <c r="C832" s="23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4"/>
      <c r="Z832" s="22"/>
      <c r="AA832" s="22"/>
      <c r="AB832" s="22"/>
      <c r="AC832" s="22"/>
      <c r="AD832" s="22"/>
      <c r="AE832" s="22"/>
      <c r="AF832" s="22"/>
      <c r="AG832" s="22"/>
      <c r="AH832" s="22"/>
      <c r="AI832" s="24"/>
      <c r="AJ832" s="22"/>
      <c r="AK832" s="22"/>
      <c r="AL832" s="22"/>
    </row>
    <row r="833" spans="1:38" ht="14.25" customHeight="1" x14ac:dyDescent="0.35">
      <c r="A833" s="22"/>
      <c r="B833" s="22"/>
      <c r="C833" s="23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4"/>
      <c r="Z833" s="22"/>
      <c r="AA833" s="22"/>
      <c r="AB833" s="22"/>
      <c r="AC833" s="22"/>
      <c r="AD833" s="22"/>
      <c r="AE833" s="22"/>
      <c r="AF833" s="22"/>
      <c r="AG833" s="22"/>
      <c r="AH833" s="22"/>
      <c r="AI833" s="24"/>
      <c r="AJ833" s="22"/>
      <c r="AK833" s="22"/>
      <c r="AL833" s="22"/>
    </row>
    <row r="834" spans="1:38" ht="14.25" customHeight="1" x14ac:dyDescent="0.35">
      <c r="A834" s="22"/>
      <c r="B834" s="22"/>
      <c r="C834" s="23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4"/>
      <c r="Z834" s="22"/>
      <c r="AA834" s="22"/>
      <c r="AB834" s="22"/>
      <c r="AC834" s="22"/>
      <c r="AD834" s="22"/>
      <c r="AE834" s="22"/>
      <c r="AF834" s="22"/>
      <c r="AG834" s="22"/>
      <c r="AH834" s="22"/>
      <c r="AI834" s="24"/>
      <c r="AJ834" s="22"/>
      <c r="AK834" s="22"/>
      <c r="AL834" s="22"/>
    </row>
    <row r="835" spans="1:38" ht="14.25" customHeight="1" x14ac:dyDescent="0.35">
      <c r="A835" s="22"/>
      <c r="B835" s="22"/>
      <c r="C835" s="23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4"/>
      <c r="Z835" s="22"/>
      <c r="AA835" s="22"/>
      <c r="AB835" s="22"/>
      <c r="AC835" s="22"/>
      <c r="AD835" s="22"/>
      <c r="AE835" s="22"/>
      <c r="AF835" s="22"/>
      <c r="AG835" s="22"/>
      <c r="AH835" s="22"/>
      <c r="AI835" s="24"/>
      <c r="AJ835" s="22"/>
      <c r="AK835" s="22"/>
      <c r="AL835" s="22"/>
    </row>
    <row r="836" spans="1:38" ht="14.25" customHeight="1" x14ac:dyDescent="0.35">
      <c r="A836" s="22"/>
      <c r="B836" s="22"/>
      <c r="C836" s="23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4"/>
      <c r="Z836" s="22"/>
      <c r="AA836" s="22"/>
      <c r="AB836" s="22"/>
      <c r="AC836" s="22"/>
      <c r="AD836" s="22"/>
      <c r="AE836" s="22"/>
      <c r="AF836" s="22"/>
      <c r="AG836" s="22"/>
      <c r="AH836" s="22"/>
      <c r="AI836" s="24"/>
      <c r="AJ836" s="22"/>
      <c r="AK836" s="22"/>
      <c r="AL836" s="22"/>
    </row>
    <row r="837" spans="1:38" ht="14.25" customHeight="1" x14ac:dyDescent="0.35">
      <c r="A837" s="22"/>
      <c r="B837" s="22"/>
      <c r="C837" s="23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4"/>
      <c r="Z837" s="22"/>
      <c r="AA837" s="22"/>
      <c r="AB837" s="22"/>
      <c r="AC837" s="22"/>
      <c r="AD837" s="22"/>
      <c r="AE837" s="22"/>
      <c r="AF837" s="22"/>
      <c r="AG837" s="22"/>
      <c r="AH837" s="22"/>
      <c r="AI837" s="24"/>
      <c r="AJ837" s="22"/>
      <c r="AK837" s="22"/>
      <c r="AL837" s="22"/>
    </row>
    <row r="838" spans="1:38" ht="14.25" customHeight="1" x14ac:dyDescent="0.35">
      <c r="A838" s="22"/>
      <c r="B838" s="22"/>
      <c r="C838" s="23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4"/>
      <c r="Z838" s="22"/>
      <c r="AA838" s="22"/>
      <c r="AB838" s="22"/>
      <c r="AC838" s="22"/>
      <c r="AD838" s="22"/>
      <c r="AE838" s="22"/>
      <c r="AF838" s="22"/>
      <c r="AG838" s="22"/>
      <c r="AH838" s="22"/>
      <c r="AI838" s="24"/>
      <c r="AJ838" s="22"/>
      <c r="AK838" s="22"/>
      <c r="AL838" s="22"/>
    </row>
    <row r="839" spans="1:38" ht="14.25" customHeight="1" x14ac:dyDescent="0.35">
      <c r="A839" s="22"/>
      <c r="B839" s="22"/>
      <c r="C839" s="23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4"/>
      <c r="Z839" s="22"/>
      <c r="AA839" s="22"/>
      <c r="AB839" s="22"/>
      <c r="AC839" s="22"/>
      <c r="AD839" s="22"/>
      <c r="AE839" s="22"/>
      <c r="AF839" s="22"/>
      <c r="AG839" s="22"/>
      <c r="AH839" s="22"/>
      <c r="AI839" s="24"/>
      <c r="AJ839" s="22"/>
      <c r="AK839" s="22"/>
      <c r="AL839" s="22"/>
    </row>
    <row r="840" spans="1:38" ht="14.25" customHeight="1" x14ac:dyDescent="0.35">
      <c r="A840" s="22"/>
      <c r="B840" s="22"/>
      <c r="C840" s="23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4"/>
      <c r="Z840" s="22"/>
      <c r="AA840" s="22"/>
      <c r="AB840" s="22"/>
      <c r="AC840" s="22"/>
      <c r="AD840" s="22"/>
      <c r="AE840" s="22"/>
      <c r="AF840" s="22"/>
      <c r="AG840" s="22"/>
      <c r="AH840" s="22"/>
      <c r="AI840" s="24"/>
      <c r="AJ840" s="22"/>
      <c r="AK840" s="22"/>
      <c r="AL840" s="22"/>
    </row>
    <row r="841" spans="1:38" ht="14.25" customHeight="1" x14ac:dyDescent="0.35">
      <c r="A841" s="22"/>
      <c r="B841" s="22"/>
      <c r="C841" s="23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4"/>
      <c r="Z841" s="22"/>
      <c r="AA841" s="22"/>
      <c r="AB841" s="22"/>
      <c r="AC841" s="22"/>
      <c r="AD841" s="22"/>
      <c r="AE841" s="22"/>
      <c r="AF841" s="22"/>
      <c r="AG841" s="22"/>
      <c r="AH841" s="22"/>
      <c r="AI841" s="24"/>
      <c r="AJ841" s="22"/>
      <c r="AK841" s="22"/>
      <c r="AL841" s="22"/>
    </row>
    <row r="842" spans="1:38" ht="14.25" customHeight="1" x14ac:dyDescent="0.35">
      <c r="A842" s="22"/>
      <c r="B842" s="22"/>
      <c r="C842" s="23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4"/>
      <c r="Z842" s="22"/>
      <c r="AA842" s="22"/>
      <c r="AB842" s="22"/>
      <c r="AC842" s="22"/>
      <c r="AD842" s="22"/>
      <c r="AE842" s="22"/>
      <c r="AF842" s="22"/>
      <c r="AG842" s="22"/>
      <c r="AH842" s="22"/>
      <c r="AI842" s="24"/>
      <c r="AJ842" s="22"/>
      <c r="AK842" s="22"/>
      <c r="AL842" s="22"/>
    </row>
    <row r="843" spans="1:38" ht="14.25" customHeight="1" x14ac:dyDescent="0.35">
      <c r="A843" s="22"/>
      <c r="B843" s="22"/>
      <c r="C843" s="23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4"/>
      <c r="Z843" s="22"/>
      <c r="AA843" s="22"/>
      <c r="AB843" s="22"/>
      <c r="AC843" s="22"/>
      <c r="AD843" s="22"/>
      <c r="AE843" s="22"/>
      <c r="AF843" s="22"/>
      <c r="AG843" s="22"/>
      <c r="AH843" s="22"/>
      <c r="AI843" s="24"/>
      <c r="AJ843" s="22"/>
      <c r="AK843" s="22"/>
      <c r="AL843" s="22"/>
    </row>
    <row r="844" spans="1:38" ht="14.25" customHeight="1" x14ac:dyDescent="0.35">
      <c r="A844" s="22"/>
      <c r="B844" s="22"/>
      <c r="C844" s="23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4"/>
      <c r="Z844" s="22"/>
      <c r="AA844" s="22"/>
      <c r="AB844" s="22"/>
      <c r="AC844" s="22"/>
      <c r="AD844" s="22"/>
      <c r="AE844" s="22"/>
      <c r="AF844" s="22"/>
      <c r="AG844" s="22"/>
      <c r="AH844" s="22"/>
      <c r="AI844" s="24"/>
      <c r="AJ844" s="22"/>
      <c r="AK844" s="22"/>
      <c r="AL844" s="22"/>
    </row>
    <row r="845" spans="1:38" ht="14.25" customHeight="1" x14ac:dyDescent="0.35">
      <c r="A845" s="22"/>
      <c r="B845" s="22"/>
      <c r="C845" s="23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4"/>
      <c r="Z845" s="22"/>
      <c r="AA845" s="22"/>
      <c r="AB845" s="22"/>
      <c r="AC845" s="22"/>
      <c r="AD845" s="22"/>
      <c r="AE845" s="22"/>
      <c r="AF845" s="22"/>
      <c r="AG845" s="22"/>
      <c r="AH845" s="22"/>
      <c r="AI845" s="24"/>
      <c r="AJ845" s="22"/>
      <c r="AK845" s="22"/>
      <c r="AL845" s="22"/>
    </row>
    <row r="846" spans="1:38" ht="14.25" customHeight="1" x14ac:dyDescent="0.35">
      <c r="A846" s="22"/>
      <c r="B846" s="22"/>
      <c r="C846" s="23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4"/>
      <c r="Z846" s="22"/>
      <c r="AA846" s="22"/>
      <c r="AB846" s="22"/>
      <c r="AC846" s="22"/>
      <c r="AD846" s="22"/>
      <c r="AE846" s="22"/>
      <c r="AF846" s="22"/>
      <c r="AG846" s="22"/>
      <c r="AH846" s="22"/>
      <c r="AI846" s="24"/>
      <c r="AJ846" s="22"/>
      <c r="AK846" s="22"/>
      <c r="AL846" s="22"/>
    </row>
    <row r="847" spans="1:38" ht="14.25" customHeight="1" x14ac:dyDescent="0.35">
      <c r="A847" s="22"/>
      <c r="B847" s="22"/>
      <c r="C847" s="23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4"/>
      <c r="Z847" s="22"/>
      <c r="AA847" s="22"/>
      <c r="AB847" s="22"/>
      <c r="AC847" s="22"/>
      <c r="AD847" s="22"/>
      <c r="AE847" s="22"/>
      <c r="AF847" s="22"/>
      <c r="AG847" s="22"/>
      <c r="AH847" s="22"/>
      <c r="AI847" s="24"/>
      <c r="AJ847" s="22"/>
      <c r="AK847" s="22"/>
      <c r="AL847" s="22"/>
    </row>
    <row r="848" spans="1:38" ht="14.25" customHeight="1" x14ac:dyDescent="0.35">
      <c r="A848" s="22"/>
      <c r="B848" s="22"/>
      <c r="C848" s="23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4"/>
      <c r="Z848" s="22"/>
      <c r="AA848" s="22"/>
      <c r="AB848" s="22"/>
      <c r="AC848" s="22"/>
      <c r="AD848" s="22"/>
      <c r="AE848" s="22"/>
      <c r="AF848" s="22"/>
      <c r="AG848" s="22"/>
      <c r="AH848" s="22"/>
      <c r="AI848" s="24"/>
      <c r="AJ848" s="22"/>
      <c r="AK848" s="22"/>
      <c r="AL848" s="22"/>
    </row>
    <row r="849" spans="1:38" ht="14.25" customHeight="1" x14ac:dyDescent="0.35">
      <c r="A849" s="22"/>
      <c r="B849" s="22"/>
      <c r="C849" s="23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4"/>
      <c r="Z849" s="22"/>
      <c r="AA849" s="22"/>
      <c r="AB849" s="22"/>
      <c r="AC849" s="22"/>
      <c r="AD849" s="22"/>
      <c r="AE849" s="22"/>
      <c r="AF849" s="22"/>
      <c r="AG849" s="22"/>
      <c r="AH849" s="22"/>
      <c r="AI849" s="24"/>
      <c r="AJ849" s="22"/>
      <c r="AK849" s="22"/>
      <c r="AL849" s="22"/>
    </row>
    <row r="850" spans="1:38" ht="14.25" customHeight="1" x14ac:dyDescent="0.35">
      <c r="A850" s="22"/>
      <c r="B850" s="22"/>
      <c r="C850" s="23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4"/>
      <c r="Z850" s="22"/>
      <c r="AA850" s="22"/>
      <c r="AB850" s="22"/>
      <c r="AC850" s="22"/>
      <c r="AD850" s="22"/>
      <c r="AE850" s="22"/>
      <c r="AF850" s="22"/>
      <c r="AG850" s="22"/>
      <c r="AH850" s="22"/>
      <c r="AI850" s="24"/>
      <c r="AJ850" s="22"/>
      <c r="AK850" s="22"/>
      <c r="AL850" s="22"/>
    </row>
    <row r="851" spans="1:38" ht="14.25" customHeight="1" x14ac:dyDescent="0.35">
      <c r="A851" s="22"/>
      <c r="B851" s="22"/>
      <c r="C851" s="23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4"/>
      <c r="Z851" s="22"/>
      <c r="AA851" s="22"/>
      <c r="AB851" s="22"/>
      <c r="AC851" s="22"/>
      <c r="AD851" s="22"/>
      <c r="AE851" s="22"/>
      <c r="AF851" s="22"/>
      <c r="AG851" s="22"/>
      <c r="AH851" s="22"/>
      <c r="AI851" s="24"/>
      <c r="AJ851" s="22"/>
      <c r="AK851" s="22"/>
      <c r="AL851" s="22"/>
    </row>
    <row r="852" spans="1:38" ht="14.25" customHeight="1" x14ac:dyDescent="0.35">
      <c r="A852" s="22"/>
      <c r="B852" s="22"/>
      <c r="C852" s="23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4"/>
      <c r="Z852" s="22"/>
      <c r="AA852" s="22"/>
      <c r="AB852" s="22"/>
      <c r="AC852" s="22"/>
      <c r="AD852" s="22"/>
      <c r="AE852" s="22"/>
      <c r="AF852" s="22"/>
      <c r="AG852" s="22"/>
      <c r="AH852" s="22"/>
      <c r="AI852" s="24"/>
      <c r="AJ852" s="22"/>
      <c r="AK852" s="22"/>
      <c r="AL852" s="22"/>
    </row>
    <row r="853" spans="1:38" ht="14.25" customHeight="1" x14ac:dyDescent="0.35">
      <c r="A853" s="22"/>
      <c r="B853" s="22"/>
      <c r="C853" s="23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4"/>
      <c r="Z853" s="22"/>
      <c r="AA853" s="22"/>
      <c r="AB853" s="22"/>
      <c r="AC853" s="22"/>
      <c r="AD853" s="22"/>
      <c r="AE853" s="22"/>
      <c r="AF853" s="22"/>
      <c r="AG853" s="22"/>
      <c r="AH853" s="22"/>
      <c r="AI853" s="24"/>
      <c r="AJ853" s="22"/>
      <c r="AK853" s="22"/>
      <c r="AL853" s="22"/>
    </row>
    <row r="854" spans="1:38" ht="14.25" customHeight="1" x14ac:dyDescent="0.35">
      <c r="A854" s="22"/>
      <c r="B854" s="22"/>
      <c r="C854" s="23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4"/>
      <c r="Z854" s="22"/>
      <c r="AA854" s="22"/>
      <c r="AB854" s="22"/>
      <c r="AC854" s="22"/>
      <c r="AD854" s="22"/>
      <c r="AE854" s="22"/>
      <c r="AF854" s="22"/>
      <c r="AG854" s="22"/>
      <c r="AH854" s="22"/>
      <c r="AI854" s="24"/>
      <c r="AJ854" s="22"/>
      <c r="AK854" s="22"/>
      <c r="AL854" s="22"/>
    </row>
    <row r="855" spans="1:38" ht="14.25" customHeight="1" x14ac:dyDescent="0.35">
      <c r="A855" s="22"/>
      <c r="B855" s="22"/>
      <c r="C855" s="23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4"/>
      <c r="Z855" s="22"/>
      <c r="AA855" s="22"/>
      <c r="AB855" s="22"/>
      <c r="AC855" s="22"/>
      <c r="AD855" s="22"/>
      <c r="AE855" s="22"/>
      <c r="AF855" s="22"/>
      <c r="AG855" s="22"/>
      <c r="AH855" s="22"/>
      <c r="AI855" s="24"/>
      <c r="AJ855" s="22"/>
      <c r="AK855" s="22"/>
      <c r="AL855" s="22"/>
    </row>
    <row r="856" spans="1:38" ht="14.25" customHeight="1" x14ac:dyDescent="0.35">
      <c r="A856" s="22"/>
      <c r="B856" s="22"/>
      <c r="C856" s="23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4"/>
      <c r="Z856" s="22"/>
      <c r="AA856" s="22"/>
      <c r="AB856" s="22"/>
      <c r="AC856" s="22"/>
      <c r="AD856" s="22"/>
      <c r="AE856" s="22"/>
      <c r="AF856" s="22"/>
      <c r="AG856" s="22"/>
      <c r="AH856" s="22"/>
      <c r="AI856" s="24"/>
      <c r="AJ856" s="22"/>
      <c r="AK856" s="22"/>
      <c r="AL856" s="22"/>
    </row>
    <row r="857" spans="1:38" ht="14.25" customHeight="1" x14ac:dyDescent="0.35">
      <c r="A857" s="22"/>
      <c r="B857" s="22"/>
      <c r="C857" s="23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4"/>
      <c r="Z857" s="22"/>
      <c r="AA857" s="22"/>
      <c r="AB857" s="22"/>
      <c r="AC857" s="22"/>
      <c r="AD857" s="22"/>
      <c r="AE857" s="22"/>
      <c r="AF857" s="22"/>
      <c r="AG857" s="22"/>
      <c r="AH857" s="22"/>
      <c r="AI857" s="24"/>
      <c r="AJ857" s="22"/>
      <c r="AK857" s="22"/>
      <c r="AL857" s="22"/>
    </row>
    <row r="858" spans="1:38" ht="14.25" customHeight="1" x14ac:dyDescent="0.35">
      <c r="A858" s="22"/>
      <c r="B858" s="22"/>
      <c r="C858" s="23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4"/>
      <c r="Z858" s="22"/>
      <c r="AA858" s="22"/>
      <c r="AB858" s="22"/>
      <c r="AC858" s="22"/>
      <c r="AD858" s="22"/>
      <c r="AE858" s="22"/>
      <c r="AF858" s="22"/>
      <c r="AG858" s="22"/>
      <c r="AH858" s="22"/>
      <c r="AI858" s="24"/>
      <c r="AJ858" s="22"/>
      <c r="AK858" s="22"/>
      <c r="AL858" s="22"/>
    </row>
    <row r="859" spans="1:38" ht="14.25" customHeight="1" x14ac:dyDescent="0.35">
      <c r="A859" s="22"/>
      <c r="B859" s="22"/>
      <c r="C859" s="23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4"/>
      <c r="Z859" s="22"/>
      <c r="AA859" s="22"/>
      <c r="AB859" s="22"/>
      <c r="AC859" s="22"/>
      <c r="AD859" s="22"/>
      <c r="AE859" s="22"/>
      <c r="AF859" s="22"/>
      <c r="AG859" s="22"/>
      <c r="AH859" s="22"/>
      <c r="AI859" s="24"/>
      <c r="AJ859" s="22"/>
      <c r="AK859" s="22"/>
      <c r="AL859" s="22"/>
    </row>
    <row r="860" spans="1:38" ht="14.25" customHeight="1" x14ac:dyDescent="0.35">
      <c r="A860" s="22"/>
      <c r="B860" s="22"/>
      <c r="C860" s="23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4"/>
      <c r="Z860" s="22"/>
      <c r="AA860" s="22"/>
      <c r="AB860" s="22"/>
      <c r="AC860" s="22"/>
      <c r="AD860" s="22"/>
      <c r="AE860" s="22"/>
      <c r="AF860" s="22"/>
      <c r="AG860" s="22"/>
      <c r="AH860" s="22"/>
      <c r="AI860" s="24"/>
      <c r="AJ860" s="22"/>
      <c r="AK860" s="22"/>
      <c r="AL860" s="22"/>
    </row>
    <row r="861" spans="1:38" ht="14.25" customHeight="1" x14ac:dyDescent="0.35">
      <c r="A861" s="22"/>
      <c r="B861" s="22"/>
      <c r="C861" s="23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4"/>
      <c r="Z861" s="22"/>
      <c r="AA861" s="22"/>
      <c r="AB861" s="22"/>
      <c r="AC861" s="22"/>
      <c r="AD861" s="22"/>
      <c r="AE861" s="22"/>
      <c r="AF861" s="22"/>
      <c r="AG861" s="22"/>
      <c r="AH861" s="22"/>
      <c r="AI861" s="24"/>
      <c r="AJ861" s="22"/>
      <c r="AK861" s="22"/>
      <c r="AL861" s="22"/>
    </row>
    <row r="862" spans="1:38" ht="14.25" customHeight="1" x14ac:dyDescent="0.35">
      <c r="A862" s="22"/>
      <c r="B862" s="22"/>
      <c r="C862" s="23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4"/>
      <c r="Z862" s="22"/>
      <c r="AA862" s="22"/>
      <c r="AB862" s="22"/>
      <c r="AC862" s="22"/>
      <c r="AD862" s="22"/>
      <c r="AE862" s="22"/>
      <c r="AF862" s="22"/>
      <c r="AG862" s="22"/>
      <c r="AH862" s="22"/>
      <c r="AI862" s="24"/>
      <c r="AJ862" s="22"/>
      <c r="AK862" s="22"/>
      <c r="AL862" s="22"/>
    </row>
    <row r="863" spans="1:38" ht="14.25" customHeight="1" x14ac:dyDescent="0.35">
      <c r="A863" s="22"/>
      <c r="B863" s="22"/>
      <c r="C863" s="23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4"/>
      <c r="Z863" s="22"/>
      <c r="AA863" s="22"/>
      <c r="AB863" s="22"/>
      <c r="AC863" s="22"/>
      <c r="AD863" s="22"/>
      <c r="AE863" s="22"/>
      <c r="AF863" s="22"/>
      <c r="AG863" s="22"/>
      <c r="AH863" s="22"/>
      <c r="AI863" s="24"/>
      <c r="AJ863" s="22"/>
      <c r="AK863" s="22"/>
      <c r="AL863" s="22"/>
    </row>
    <row r="864" spans="1:38" ht="14.25" customHeight="1" x14ac:dyDescent="0.35">
      <c r="A864" s="22"/>
      <c r="B864" s="22"/>
      <c r="C864" s="23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4"/>
      <c r="Z864" s="22"/>
      <c r="AA864" s="22"/>
      <c r="AB864" s="22"/>
      <c r="AC864" s="22"/>
      <c r="AD864" s="22"/>
      <c r="AE864" s="22"/>
      <c r="AF864" s="22"/>
      <c r="AG864" s="22"/>
      <c r="AH864" s="22"/>
      <c r="AI864" s="24"/>
      <c r="AJ864" s="22"/>
      <c r="AK864" s="22"/>
      <c r="AL864" s="22"/>
    </row>
    <row r="865" spans="1:38" ht="14.25" customHeight="1" x14ac:dyDescent="0.35">
      <c r="A865" s="22"/>
      <c r="B865" s="22"/>
      <c r="C865" s="23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4"/>
      <c r="Z865" s="22"/>
      <c r="AA865" s="22"/>
      <c r="AB865" s="22"/>
      <c r="AC865" s="22"/>
      <c r="AD865" s="22"/>
      <c r="AE865" s="22"/>
      <c r="AF865" s="22"/>
      <c r="AG865" s="22"/>
      <c r="AH865" s="22"/>
      <c r="AI865" s="24"/>
      <c r="AJ865" s="22"/>
      <c r="AK865" s="22"/>
      <c r="AL865" s="22"/>
    </row>
    <row r="866" spans="1:38" ht="14.25" customHeight="1" x14ac:dyDescent="0.35">
      <c r="A866" s="22"/>
      <c r="B866" s="22"/>
      <c r="C866" s="23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4"/>
      <c r="Z866" s="22"/>
      <c r="AA866" s="22"/>
      <c r="AB866" s="22"/>
      <c r="AC866" s="22"/>
      <c r="AD866" s="22"/>
      <c r="AE866" s="22"/>
      <c r="AF866" s="22"/>
      <c r="AG866" s="22"/>
      <c r="AH866" s="22"/>
      <c r="AI866" s="24"/>
      <c r="AJ866" s="22"/>
      <c r="AK866" s="22"/>
      <c r="AL866" s="22"/>
    </row>
    <row r="867" spans="1:38" ht="14.25" customHeight="1" x14ac:dyDescent="0.35">
      <c r="A867" s="22"/>
      <c r="B867" s="22"/>
      <c r="C867" s="23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4"/>
      <c r="Z867" s="22"/>
      <c r="AA867" s="22"/>
      <c r="AB867" s="22"/>
      <c r="AC867" s="22"/>
      <c r="AD867" s="22"/>
      <c r="AE867" s="22"/>
      <c r="AF867" s="22"/>
      <c r="AG867" s="22"/>
      <c r="AH867" s="22"/>
      <c r="AI867" s="24"/>
      <c r="AJ867" s="22"/>
      <c r="AK867" s="22"/>
      <c r="AL867" s="22"/>
    </row>
    <row r="868" spans="1:38" ht="14.25" customHeight="1" x14ac:dyDescent="0.35">
      <c r="A868" s="22"/>
      <c r="B868" s="22"/>
      <c r="C868" s="23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4"/>
      <c r="Z868" s="22"/>
      <c r="AA868" s="22"/>
      <c r="AB868" s="22"/>
      <c r="AC868" s="22"/>
      <c r="AD868" s="22"/>
      <c r="AE868" s="22"/>
      <c r="AF868" s="22"/>
      <c r="AG868" s="22"/>
      <c r="AH868" s="22"/>
      <c r="AI868" s="24"/>
      <c r="AJ868" s="22"/>
      <c r="AK868" s="22"/>
      <c r="AL868" s="22"/>
    </row>
    <row r="869" spans="1:38" ht="14.25" customHeight="1" x14ac:dyDescent="0.35">
      <c r="A869" s="22"/>
      <c r="B869" s="22"/>
      <c r="C869" s="23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4"/>
      <c r="Z869" s="22"/>
      <c r="AA869" s="22"/>
      <c r="AB869" s="22"/>
      <c r="AC869" s="22"/>
      <c r="AD869" s="22"/>
      <c r="AE869" s="22"/>
      <c r="AF869" s="22"/>
      <c r="AG869" s="22"/>
      <c r="AH869" s="22"/>
      <c r="AI869" s="24"/>
      <c r="AJ869" s="22"/>
      <c r="AK869" s="22"/>
      <c r="AL869" s="22"/>
    </row>
    <row r="870" spans="1:38" ht="14.25" customHeight="1" x14ac:dyDescent="0.35">
      <c r="A870" s="22"/>
      <c r="B870" s="22"/>
      <c r="C870" s="23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4"/>
      <c r="Z870" s="22"/>
      <c r="AA870" s="22"/>
      <c r="AB870" s="22"/>
      <c r="AC870" s="22"/>
      <c r="AD870" s="22"/>
      <c r="AE870" s="22"/>
      <c r="AF870" s="22"/>
      <c r="AG870" s="22"/>
      <c r="AH870" s="22"/>
      <c r="AI870" s="24"/>
      <c r="AJ870" s="22"/>
      <c r="AK870" s="22"/>
      <c r="AL870" s="22"/>
    </row>
    <row r="871" spans="1:38" ht="14.25" customHeight="1" x14ac:dyDescent="0.35">
      <c r="A871" s="22"/>
      <c r="B871" s="22"/>
      <c r="C871" s="23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4"/>
      <c r="Z871" s="22"/>
      <c r="AA871" s="22"/>
      <c r="AB871" s="22"/>
      <c r="AC871" s="22"/>
      <c r="AD871" s="22"/>
      <c r="AE871" s="22"/>
      <c r="AF871" s="22"/>
      <c r="AG871" s="22"/>
      <c r="AH871" s="22"/>
      <c r="AI871" s="24"/>
      <c r="AJ871" s="22"/>
      <c r="AK871" s="22"/>
      <c r="AL871" s="22"/>
    </row>
    <row r="872" spans="1:38" ht="14.25" customHeight="1" x14ac:dyDescent="0.35">
      <c r="A872" s="22"/>
      <c r="B872" s="22"/>
      <c r="C872" s="23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4"/>
      <c r="Z872" s="22"/>
      <c r="AA872" s="22"/>
      <c r="AB872" s="22"/>
      <c r="AC872" s="22"/>
      <c r="AD872" s="22"/>
      <c r="AE872" s="22"/>
      <c r="AF872" s="22"/>
      <c r="AG872" s="22"/>
      <c r="AH872" s="22"/>
      <c r="AI872" s="24"/>
      <c r="AJ872" s="22"/>
      <c r="AK872" s="22"/>
      <c r="AL872" s="22"/>
    </row>
    <row r="873" spans="1:38" ht="14.25" customHeight="1" x14ac:dyDescent="0.35">
      <c r="A873" s="22"/>
      <c r="B873" s="22"/>
      <c r="C873" s="23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4"/>
      <c r="Z873" s="22"/>
      <c r="AA873" s="22"/>
      <c r="AB873" s="22"/>
      <c r="AC873" s="22"/>
      <c r="AD873" s="22"/>
      <c r="AE873" s="22"/>
      <c r="AF873" s="22"/>
      <c r="AG873" s="22"/>
      <c r="AH873" s="22"/>
      <c r="AI873" s="24"/>
      <c r="AJ873" s="22"/>
      <c r="AK873" s="22"/>
      <c r="AL873" s="22"/>
    </row>
    <row r="874" spans="1:38" ht="14.25" customHeight="1" x14ac:dyDescent="0.35">
      <c r="A874" s="22"/>
      <c r="B874" s="22"/>
      <c r="C874" s="23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4"/>
      <c r="Z874" s="22"/>
      <c r="AA874" s="22"/>
      <c r="AB874" s="22"/>
      <c r="AC874" s="22"/>
      <c r="AD874" s="22"/>
      <c r="AE874" s="22"/>
      <c r="AF874" s="22"/>
      <c r="AG874" s="22"/>
      <c r="AH874" s="22"/>
      <c r="AI874" s="24"/>
      <c r="AJ874" s="22"/>
      <c r="AK874" s="22"/>
      <c r="AL874" s="22"/>
    </row>
    <row r="875" spans="1:38" ht="14.25" customHeight="1" x14ac:dyDescent="0.35">
      <c r="A875" s="22"/>
      <c r="B875" s="22"/>
      <c r="C875" s="23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4"/>
      <c r="Z875" s="22"/>
      <c r="AA875" s="22"/>
      <c r="AB875" s="22"/>
      <c r="AC875" s="22"/>
      <c r="AD875" s="22"/>
      <c r="AE875" s="22"/>
      <c r="AF875" s="22"/>
      <c r="AG875" s="22"/>
      <c r="AH875" s="22"/>
      <c r="AI875" s="24"/>
      <c r="AJ875" s="22"/>
      <c r="AK875" s="22"/>
      <c r="AL875" s="22"/>
    </row>
    <row r="876" spans="1:38" ht="14.25" customHeight="1" x14ac:dyDescent="0.35">
      <c r="A876" s="22"/>
      <c r="B876" s="22"/>
      <c r="C876" s="23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4"/>
      <c r="Z876" s="22"/>
      <c r="AA876" s="22"/>
      <c r="AB876" s="22"/>
      <c r="AC876" s="22"/>
      <c r="AD876" s="22"/>
      <c r="AE876" s="22"/>
      <c r="AF876" s="22"/>
      <c r="AG876" s="22"/>
      <c r="AH876" s="22"/>
      <c r="AI876" s="24"/>
      <c r="AJ876" s="22"/>
      <c r="AK876" s="22"/>
      <c r="AL876" s="22"/>
    </row>
    <row r="877" spans="1:38" ht="14.25" customHeight="1" x14ac:dyDescent="0.35">
      <c r="A877" s="22"/>
      <c r="B877" s="22"/>
      <c r="C877" s="23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4"/>
      <c r="Z877" s="22"/>
      <c r="AA877" s="22"/>
      <c r="AB877" s="22"/>
      <c r="AC877" s="22"/>
      <c r="AD877" s="22"/>
      <c r="AE877" s="22"/>
      <c r="AF877" s="22"/>
      <c r="AG877" s="22"/>
      <c r="AH877" s="22"/>
      <c r="AI877" s="24"/>
      <c r="AJ877" s="22"/>
      <c r="AK877" s="22"/>
      <c r="AL877" s="22"/>
    </row>
    <row r="878" spans="1:38" ht="14.25" customHeight="1" x14ac:dyDescent="0.35">
      <c r="A878" s="22"/>
      <c r="B878" s="22"/>
      <c r="C878" s="23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4"/>
      <c r="Z878" s="22"/>
      <c r="AA878" s="22"/>
      <c r="AB878" s="22"/>
      <c r="AC878" s="22"/>
      <c r="AD878" s="22"/>
      <c r="AE878" s="22"/>
      <c r="AF878" s="22"/>
      <c r="AG878" s="22"/>
      <c r="AH878" s="22"/>
      <c r="AI878" s="24"/>
      <c r="AJ878" s="22"/>
      <c r="AK878" s="22"/>
      <c r="AL878" s="22"/>
    </row>
    <row r="879" spans="1:38" ht="14.25" customHeight="1" x14ac:dyDescent="0.35">
      <c r="A879" s="22"/>
      <c r="B879" s="22"/>
      <c r="C879" s="23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4"/>
      <c r="Z879" s="22"/>
      <c r="AA879" s="22"/>
      <c r="AB879" s="22"/>
      <c r="AC879" s="22"/>
      <c r="AD879" s="22"/>
      <c r="AE879" s="22"/>
      <c r="AF879" s="22"/>
      <c r="AG879" s="22"/>
      <c r="AH879" s="22"/>
      <c r="AI879" s="24"/>
      <c r="AJ879" s="22"/>
      <c r="AK879" s="22"/>
      <c r="AL879" s="22"/>
    </row>
    <row r="880" spans="1:38" ht="14.25" customHeight="1" x14ac:dyDescent="0.35">
      <c r="A880" s="22"/>
      <c r="B880" s="22"/>
      <c r="C880" s="23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4"/>
      <c r="Z880" s="22"/>
      <c r="AA880" s="22"/>
      <c r="AB880" s="22"/>
      <c r="AC880" s="22"/>
      <c r="AD880" s="22"/>
      <c r="AE880" s="22"/>
      <c r="AF880" s="22"/>
      <c r="AG880" s="22"/>
      <c r="AH880" s="22"/>
      <c r="AI880" s="24"/>
      <c r="AJ880" s="22"/>
      <c r="AK880" s="22"/>
      <c r="AL880" s="22"/>
    </row>
    <row r="881" spans="1:38" ht="14.25" customHeight="1" x14ac:dyDescent="0.35">
      <c r="A881" s="22"/>
      <c r="B881" s="22"/>
      <c r="C881" s="23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4"/>
      <c r="Z881" s="22"/>
      <c r="AA881" s="22"/>
      <c r="AB881" s="22"/>
      <c r="AC881" s="22"/>
      <c r="AD881" s="22"/>
      <c r="AE881" s="22"/>
      <c r="AF881" s="22"/>
      <c r="AG881" s="22"/>
      <c r="AH881" s="22"/>
      <c r="AI881" s="24"/>
      <c r="AJ881" s="22"/>
      <c r="AK881" s="22"/>
      <c r="AL881" s="22"/>
    </row>
    <row r="882" spans="1:38" ht="14.25" customHeight="1" x14ac:dyDescent="0.35">
      <c r="A882" s="22"/>
      <c r="B882" s="22"/>
      <c r="C882" s="23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4"/>
      <c r="Z882" s="22"/>
      <c r="AA882" s="22"/>
      <c r="AB882" s="22"/>
      <c r="AC882" s="22"/>
      <c r="AD882" s="22"/>
      <c r="AE882" s="22"/>
      <c r="AF882" s="22"/>
      <c r="AG882" s="22"/>
      <c r="AH882" s="22"/>
      <c r="AI882" s="24"/>
      <c r="AJ882" s="22"/>
      <c r="AK882" s="22"/>
      <c r="AL882" s="22"/>
    </row>
    <row r="883" spans="1:38" ht="14.25" customHeight="1" x14ac:dyDescent="0.35">
      <c r="A883" s="22"/>
      <c r="B883" s="22"/>
      <c r="C883" s="23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4"/>
      <c r="Z883" s="22"/>
      <c r="AA883" s="22"/>
      <c r="AB883" s="22"/>
      <c r="AC883" s="22"/>
      <c r="AD883" s="22"/>
      <c r="AE883" s="22"/>
      <c r="AF883" s="22"/>
      <c r="AG883" s="22"/>
      <c r="AH883" s="22"/>
      <c r="AI883" s="24"/>
      <c r="AJ883" s="22"/>
      <c r="AK883" s="22"/>
      <c r="AL883" s="22"/>
    </row>
    <row r="884" spans="1:38" ht="14.25" customHeight="1" x14ac:dyDescent="0.35">
      <c r="A884" s="22"/>
      <c r="B884" s="22"/>
      <c r="C884" s="23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4"/>
      <c r="Z884" s="22"/>
      <c r="AA884" s="22"/>
      <c r="AB884" s="22"/>
      <c r="AC884" s="22"/>
      <c r="AD884" s="22"/>
      <c r="AE884" s="22"/>
      <c r="AF884" s="22"/>
      <c r="AG884" s="22"/>
      <c r="AH884" s="22"/>
      <c r="AI884" s="24"/>
      <c r="AJ884" s="22"/>
      <c r="AK884" s="22"/>
      <c r="AL884" s="22"/>
    </row>
    <row r="885" spans="1:38" ht="14.25" customHeight="1" x14ac:dyDescent="0.35">
      <c r="A885" s="22"/>
      <c r="B885" s="22"/>
      <c r="C885" s="23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4"/>
      <c r="Z885" s="22"/>
      <c r="AA885" s="22"/>
      <c r="AB885" s="22"/>
      <c r="AC885" s="22"/>
      <c r="AD885" s="22"/>
      <c r="AE885" s="22"/>
      <c r="AF885" s="22"/>
      <c r="AG885" s="22"/>
      <c r="AH885" s="22"/>
      <c r="AI885" s="24"/>
      <c r="AJ885" s="22"/>
      <c r="AK885" s="22"/>
      <c r="AL885" s="22"/>
    </row>
    <row r="886" spans="1:38" ht="14.25" customHeight="1" x14ac:dyDescent="0.35">
      <c r="A886" s="22"/>
      <c r="B886" s="22"/>
      <c r="C886" s="23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4"/>
      <c r="Z886" s="22"/>
      <c r="AA886" s="22"/>
      <c r="AB886" s="22"/>
      <c r="AC886" s="22"/>
      <c r="AD886" s="22"/>
      <c r="AE886" s="22"/>
      <c r="AF886" s="22"/>
      <c r="AG886" s="22"/>
      <c r="AH886" s="22"/>
      <c r="AI886" s="24"/>
      <c r="AJ886" s="22"/>
      <c r="AK886" s="22"/>
      <c r="AL886" s="22"/>
    </row>
    <row r="887" spans="1:38" ht="14.25" customHeight="1" x14ac:dyDescent="0.35">
      <c r="A887" s="22"/>
      <c r="B887" s="22"/>
      <c r="C887" s="23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4"/>
      <c r="Z887" s="22"/>
      <c r="AA887" s="22"/>
      <c r="AB887" s="22"/>
      <c r="AC887" s="22"/>
      <c r="AD887" s="22"/>
      <c r="AE887" s="22"/>
      <c r="AF887" s="22"/>
      <c r="AG887" s="22"/>
      <c r="AH887" s="22"/>
      <c r="AI887" s="24"/>
      <c r="AJ887" s="22"/>
      <c r="AK887" s="22"/>
      <c r="AL887" s="22"/>
    </row>
    <row r="888" spans="1:38" ht="14.25" customHeight="1" x14ac:dyDescent="0.35">
      <c r="A888" s="22"/>
      <c r="B888" s="22"/>
      <c r="C888" s="23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4"/>
      <c r="Z888" s="22"/>
      <c r="AA888" s="22"/>
      <c r="AB888" s="22"/>
      <c r="AC888" s="22"/>
      <c r="AD888" s="22"/>
      <c r="AE888" s="22"/>
      <c r="AF888" s="22"/>
      <c r="AG888" s="22"/>
      <c r="AH888" s="22"/>
      <c r="AI888" s="24"/>
      <c r="AJ888" s="22"/>
      <c r="AK888" s="22"/>
      <c r="AL888" s="22"/>
    </row>
    <row r="889" spans="1:38" ht="14.25" customHeight="1" x14ac:dyDescent="0.35">
      <c r="A889" s="22"/>
      <c r="B889" s="22"/>
      <c r="C889" s="23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4"/>
      <c r="Z889" s="22"/>
      <c r="AA889" s="22"/>
      <c r="AB889" s="22"/>
      <c r="AC889" s="22"/>
      <c r="AD889" s="22"/>
      <c r="AE889" s="22"/>
      <c r="AF889" s="22"/>
      <c r="AG889" s="22"/>
      <c r="AH889" s="22"/>
      <c r="AI889" s="24"/>
      <c r="AJ889" s="22"/>
      <c r="AK889" s="22"/>
      <c r="AL889" s="22"/>
    </row>
    <row r="890" spans="1:38" ht="14.25" customHeight="1" x14ac:dyDescent="0.35">
      <c r="A890" s="22"/>
      <c r="B890" s="22"/>
      <c r="C890" s="23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4"/>
      <c r="Z890" s="22"/>
      <c r="AA890" s="22"/>
      <c r="AB890" s="22"/>
      <c r="AC890" s="22"/>
      <c r="AD890" s="22"/>
      <c r="AE890" s="22"/>
      <c r="AF890" s="22"/>
      <c r="AG890" s="22"/>
      <c r="AH890" s="22"/>
      <c r="AI890" s="24"/>
      <c r="AJ890" s="22"/>
      <c r="AK890" s="22"/>
      <c r="AL890" s="22"/>
    </row>
    <row r="891" spans="1:38" ht="14.25" customHeight="1" x14ac:dyDescent="0.35">
      <c r="A891" s="22"/>
      <c r="B891" s="22"/>
      <c r="C891" s="23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4"/>
      <c r="Z891" s="22"/>
      <c r="AA891" s="22"/>
      <c r="AB891" s="22"/>
      <c r="AC891" s="22"/>
      <c r="AD891" s="22"/>
      <c r="AE891" s="22"/>
      <c r="AF891" s="22"/>
      <c r="AG891" s="22"/>
      <c r="AH891" s="22"/>
      <c r="AI891" s="24"/>
      <c r="AJ891" s="22"/>
      <c r="AK891" s="22"/>
      <c r="AL891" s="22"/>
    </row>
    <row r="892" spans="1:38" ht="14.25" customHeight="1" x14ac:dyDescent="0.35">
      <c r="A892" s="22"/>
      <c r="B892" s="22"/>
      <c r="C892" s="23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4"/>
      <c r="Z892" s="22"/>
      <c r="AA892" s="22"/>
      <c r="AB892" s="22"/>
      <c r="AC892" s="22"/>
      <c r="AD892" s="22"/>
      <c r="AE892" s="22"/>
      <c r="AF892" s="22"/>
      <c r="AG892" s="22"/>
      <c r="AH892" s="22"/>
      <c r="AI892" s="24"/>
      <c r="AJ892" s="22"/>
      <c r="AK892" s="22"/>
      <c r="AL892" s="22"/>
    </row>
    <row r="893" spans="1:38" ht="14.25" customHeight="1" x14ac:dyDescent="0.35">
      <c r="A893" s="22"/>
      <c r="B893" s="22"/>
      <c r="C893" s="23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4"/>
      <c r="Z893" s="22"/>
      <c r="AA893" s="22"/>
      <c r="AB893" s="22"/>
      <c r="AC893" s="22"/>
      <c r="AD893" s="22"/>
      <c r="AE893" s="22"/>
      <c r="AF893" s="22"/>
      <c r="AG893" s="22"/>
      <c r="AH893" s="22"/>
      <c r="AI893" s="24"/>
      <c r="AJ893" s="22"/>
      <c r="AK893" s="22"/>
      <c r="AL893" s="22"/>
    </row>
    <row r="894" spans="1:38" ht="14.25" customHeight="1" x14ac:dyDescent="0.35">
      <c r="A894" s="22"/>
      <c r="B894" s="22"/>
      <c r="C894" s="23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4"/>
      <c r="Z894" s="22"/>
      <c r="AA894" s="22"/>
      <c r="AB894" s="22"/>
      <c r="AC894" s="22"/>
      <c r="AD894" s="22"/>
      <c r="AE894" s="22"/>
      <c r="AF894" s="22"/>
      <c r="AG894" s="22"/>
      <c r="AH894" s="22"/>
      <c r="AI894" s="24"/>
      <c r="AJ894" s="22"/>
      <c r="AK894" s="22"/>
      <c r="AL894" s="22"/>
    </row>
    <row r="895" spans="1:38" ht="14.25" customHeight="1" x14ac:dyDescent="0.35">
      <c r="A895" s="22"/>
      <c r="B895" s="22"/>
      <c r="C895" s="23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4"/>
      <c r="Z895" s="22"/>
      <c r="AA895" s="22"/>
      <c r="AB895" s="22"/>
      <c r="AC895" s="22"/>
      <c r="AD895" s="22"/>
      <c r="AE895" s="22"/>
      <c r="AF895" s="22"/>
      <c r="AG895" s="22"/>
      <c r="AH895" s="22"/>
      <c r="AI895" s="24"/>
      <c r="AJ895" s="22"/>
      <c r="AK895" s="22"/>
      <c r="AL895" s="22"/>
    </row>
    <row r="896" spans="1:38" ht="14.25" customHeight="1" x14ac:dyDescent="0.35">
      <c r="A896" s="22"/>
      <c r="B896" s="22"/>
      <c r="C896" s="23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4"/>
      <c r="Z896" s="22"/>
      <c r="AA896" s="22"/>
      <c r="AB896" s="22"/>
      <c r="AC896" s="22"/>
      <c r="AD896" s="22"/>
      <c r="AE896" s="22"/>
      <c r="AF896" s="22"/>
      <c r="AG896" s="22"/>
      <c r="AH896" s="22"/>
      <c r="AI896" s="24"/>
      <c r="AJ896" s="22"/>
      <c r="AK896" s="22"/>
      <c r="AL896" s="22"/>
    </row>
    <row r="897" spans="1:38" ht="14.25" customHeight="1" x14ac:dyDescent="0.35">
      <c r="A897" s="22"/>
      <c r="B897" s="22"/>
      <c r="C897" s="23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4"/>
      <c r="Z897" s="22"/>
      <c r="AA897" s="22"/>
      <c r="AB897" s="22"/>
      <c r="AC897" s="22"/>
      <c r="AD897" s="22"/>
      <c r="AE897" s="22"/>
      <c r="AF897" s="22"/>
      <c r="AG897" s="22"/>
      <c r="AH897" s="22"/>
      <c r="AI897" s="24"/>
      <c r="AJ897" s="22"/>
      <c r="AK897" s="22"/>
      <c r="AL897" s="22"/>
    </row>
    <row r="898" spans="1:38" ht="14.25" customHeight="1" x14ac:dyDescent="0.35">
      <c r="A898" s="22"/>
      <c r="B898" s="22"/>
      <c r="C898" s="23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4"/>
      <c r="Z898" s="22"/>
      <c r="AA898" s="22"/>
      <c r="AB898" s="22"/>
      <c r="AC898" s="22"/>
      <c r="AD898" s="22"/>
      <c r="AE898" s="22"/>
      <c r="AF898" s="22"/>
      <c r="AG898" s="22"/>
      <c r="AH898" s="22"/>
      <c r="AI898" s="24"/>
      <c r="AJ898" s="22"/>
      <c r="AK898" s="22"/>
      <c r="AL898" s="22"/>
    </row>
    <row r="899" spans="1:38" ht="14.25" customHeight="1" x14ac:dyDescent="0.35">
      <c r="A899" s="22"/>
      <c r="B899" s="22"/>
      <c r="C899" s="23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4"/>
      <c r="Z899" s="22"/>
      <c r="AA899" s="22"/>
      <c r="AB899" s="22"/>
      <c r="AC899" s="22"/>
      <c r="AD899" s="22"/>
      <c r="AE899" s="22"/>
      <c r="AF899" s="22"/>
      <c r="AG899" s="22"/>
      <c r="AH899" s="22"/>
      <c r="AI899" s="24"/>
      <c r="AJ899" s="22"/>
      <c r="AK899" s="22"/>
      <c r="AL899" s="22"/>
    </row>
    <row r="900" spans="1:38" ht="14.25" customHeight="1" x14ac:dyDescent="0.35">
      <c r="A900" s="22"/>
      <c r="B900" s="22"/>
      <c r="C900" s="23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4"/>
      <c r="Z900" s="22"/>
      <c r="AA900" s="22"/>
      <c r="AB900" s="22"/>
      <c r="AC900" s="22"/>
      <c r="AD900" s="22"/>
      <c r="AE900" s="22"/>
      <c r="AF900" s="22"/>
      <c r="AG900" s="22"/>
      <c r="AH900" s="22"/>
      <c r="AI900" s="24"/>
      <c r="AJ900" s="22"/>
      <c r="AK900" s="22"/>
      <c r="AL900" s="22"/>
    </row>
    <row r="901" spans="1:38" ht="14.25" customHeight="1" x14ac:dyDescent="0.35">
      <c r="A901" s="22"/>
      <c r="B901" s="22"/>
      <c r="C901" s="23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4"/>
      <c r="Z901" s="22"/>
      <c r="AA901" s="22"/>
      <c r="AB901" s="22"/>
      <c r="AC901" s="22"/>
      <c r="AD901" s="22"/>
      <c r="AE901" s="22"/>
      <c r="AF901" s="22"/>
      <c r="AG901" s="22"/>
      <c r="AH901" s="22"/>
      <c r="AI901" s="24"/>
      <c r="AJ901" s="22"/>
      <c r="AK901" s="22"/>
      <c r="AL901" s="22"/>
    </row>
    <row r="902" spans="1:38" ht="14.25" customHeight="1" x14ac:dyDescent="0.35">
      <c r="A902" s="22"/>
      <c r="B902" s="22"/>
      <c r="C902" s="23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4"/>
      <c r="Z902" s="22"/>
      <c r="AA902" s="22"/>
      <c r="AB902" s="22"/>
      <c r="AC902" s="22"/>
      <c r="AD902" s="22"/>
      <c r="AE902" s="22"/>
      <c r="AF902" s="22"/>
      <c r="AG902" s="22"/>
      <c r="AH902" s="22"/>
      <c r="AI902" s="24"/>
      <c r="AJ902" s="22"/>
      <c r="AK902" s="22"/>
      <c r="AL902" s="22"/>
    </row>
    <row r="903" spans="1:38" ht="14.25" customHeight="1" x14ac:dyDescent="0.35">
      <c r="A903" s="22"/>
      <c r="B903" s="22"/>
      <c r="C903" s="23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4"/>
      <c r="Z903" s="22"/>
      <c r="AA903" s="22"/>
      <c r="AB903" s="22"/>
      <c r="AC903" s="22"/>
      <c r="AD903" s="22"/>
      <c r="AE903" s="22"/>
      <c r="AF903" s="22"/>
      <c r="AG903" s="22"/>
      <c r="AH903" s="22"/>
      <c r="AI903" s="24"/>
      <c r="AJ903" s="22"/>
      <c r="AK903" s="22"/>
      <c r="AL903" s="22"/>
    </row>
    <row r="904" spans="1:38" ht="14.25" customHeight="1" x14ac:dyDescent="0.35">
      <c r="A904" s="22"/>
      <c r="B904" s="22"/>
      <c r="C904" s="23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4"/>
      <c r="Z904" s="22"/>
      <c r="AA904" s="22"/>
      <c r="AB904" s="22"/>
      <c r="AC904" s="22"/>
      <c r="AD904" s="22"/>
      <c r="AE904" s="22"/>
      <c r="AF904" s="22"/>
      <c r="AG904" s="22"/>
      <c r="AH904" s="22"/>
      <c r="AI904" s="24"/>
      <c r="AJ904" s="22"/>
      <c r="AK904" s="22"/>
      <c r="AL904" s="22"/>
    </row>
    <row r="905" spans="1:38" ht="14.25" customHeight="1" x14ac:dyDescent="0.35">
      <c r="A905" s="22"/>
      <c r="B905" s="22"/>
      <c r="C905" s="23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4"/>
      <c r="Z905" s="22"/>
      <c r="AA905" s="22"/>
      <c r="AB905" s="22"/>
      <c r="AC905" s="22"/>
      <c r="AD905" s="22"/>
      <c r="AE905" s="22"/>
      <c r="AF905" s="22"/>
      <c r="AG905" s="22"/>
      <c r="AH905" s="22"/>
      <c r="AI905" s="24"/>
      <c r="AJ905" s="22"/>
      <c r="AK905" s="22"/>
      <c r="AL905" s="22"/>
    </row>
    <row r="906" spans="1:38" ht="14.25" customHeight="1" x14ac:dyDescent="0.35">
      <c r="A906" s="22"/>
      <c r="B906" s="22"/>
      <c r="C906" s="23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4"/>
      <c r="Z906" s="22"/>
      <c r="AA906" s="22"/>
      <c r="AB906" s="22"/>
      <c r="AC906" s="22"/>
      <c r="AD906" s="22"/>
      <c r="AE906" s="22"/>
      <c r="AF906" s="22"/>
      <c r="AG906" s="22"/>
      <c r="AH906" s="22"/>
      <c r="AI906" s="24"/>
      <c r="AJ906" s="22"/>
      <c r="AK906" s="22"/>
      <c r="AL906" s="22"/>
    </row>
    <row r="907" spans="1:38" ht="14.25" customHeight="1" x14ac:dyDescent="0.35">
      <c r="A907" s="22"/>
      <c r="B907" s="22"/>
      <c r="C907" s="23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4"/>
      <c r="Z907" s="22"/>
      <c r="AA907" s="22"/>
      <c r="AB907" s="22"/>
      <c r="AC907" s="22"/>
      <c r="AD907" s="22"/>
      <c r="AE907" s="22"/>
      <c r="AF907" s="22"/>
      <c r="AG907" s="22"/>
      <c r="AH907" s="22"/>
      <c r="AI907" s="24"/>
      <c r="AJ907" s="22"/>
      <c r="AK907" s="22"/>
      <c r="AL907" s="22"/>
    </row>
    <row r="908" spans="1:38" ht="14.25" customHeight="1" x14ac:dyDescent="0.35">
      <c r="A908" s="22"/>
      <c r="B908" s="22"/>
      <c r="C908" s="23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4"/>
      <c r="Z908" s="22"/>
      <c r="AA908" s="22"/>
      <c r="AB908" s="22"/>
      <c r="AC908" s="22"/>
      <c r="AD908" s="22"/>
      <c r="AE908" s="22"/>
      <c r="AF908" s="22"/>
      <c r="AG908" s="22"/>
      <c r="AH908" s="22"/>
      <c r="AI908" s="24"/>
      <c r="AJ908" s="22"/>
      <c r="AK908" s="22"/>
      <c r="AL908" s="22"/>
    </row>
    <row r="909" spans="1:38" ht="14.25" customHeight="1" x14ac:dyDescent="0.35">
      <c r="A909" s="22"/>
      <c r="B909" s="22"/>
      <c r="C909" s="23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4"/>
      <c r="Z909" s="22"/>
      <c r="AA909" s="22"/>
      <c r="AB909" s="22"/>
      <c r="AC909" s="22"/>
      <c r="AD909" s="22"/>
      <c r="AE909" s="22"/>
      <c r="AF909" s="22"/>
      <c r="AG909" s="22"/>
      <c r="AH909" s="22"/>
      <c r="AI909" s="24"/>
      <c r="AJ909" s="22"/>
      <c r="AK909" s="22"/>
      <c r="AL909" s="22"/>
    </row>
    <row r="910" spans="1:38" ht="14.25" customHeight="1" x14ac:dyDescent="0.35">
      <c r="A910" s="22"/>
      <c r="B910" s="22"/>
      <c r="C910" s="23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4"/>
      <c r="Z910" s="22"/>
      <c r="AA910" s="22"/>
      <c r="AB910" s="22"/>
      <c r="AC910" s="22"/>
      <c r="AD910" s="22"/>
      <c r="AE910" s="22"/>
      <c r="AF910" s="22"/>
      <c r="AG910" s="22"/>
      <c r="AH910" s="22"/>
      <c r="AI910" s="24"/>
      <c r="AJ910" s="22"/>
      <c r="AK910" s="22"/>
      <c r="AL910" s="22"/>
    </row>
    <row r="911" spans="1:38" ht="14.25" customHeight="1" x14ac:dyDescent="0.35">
      <c r="A911" s="22"/>
      <c r="B911" s="22"/>
      <c r="C911" s="23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4"/>
      <c r="Z911" s="22"/>
      <c r="AA911" s="22"/>
      <c r="AB911" s="22"/>
      <c r="AC911" s="22"/>
      <c r="AD911" s="22"/>
      <c r="AE911" s="22"/>
      <c r="AF911" s="22"/>
      <c r="AG911" s="22"/>
      <c r="AH911" s="22"/>
      <c r="AI911" s="24"/>
      <c r="AJ911" s="22"/>
      <c r="AK911" s="22"/>
      <c r="AL911" s="22"/>
    </row>
    <row r="912" spans="1:38" ht="14.25" customHeight="1" x14ac:dyDescent="0.35">
      <c r="A912" s="22"/>
      <c r="B912" s="22"/>
      <c r="C912" s="23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4"/>
      <c r="Z912" s="22"/>
      <c r="AA912" s="22"/>
      <c r="AB912" s="22"/>
      <c r="AC912" s="22"/>
      <c r="AD912" s="22"/>
      <c r="AE912" s="22"/>
      <c r="AF912" s="22"/>
      <c r="AG912" s="22"/>
      <c r="AH912" s="22"/>
      <c r="AI912" s="24"/>
      <c r="AJ912" s="22"/>
      <c r="AK912" s="22"/>
      <c r="AL912" s="22"/>
    </row>
    <row r="913" spans="1:38" ht="14.25" customHeight="1" x14ac:dyDescent="0.35">
      <c r="A913" s="22"/>
      <c r="B913" s="22"/>
      <c r="C913" s="23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4"/>
      <c r="Z913" s="22"/>
      <c r="AA913" s="22"/>
      <c r="AB913" s="22"/>
      <c r="AC913" s="22"/>
      <c r="AD913" s="22"/>
      <c r="AE913" s="22"/>
      <c r="AF913" s="22"/>
      <c r="AG913" s="22"/>
      <c r="AH913" s="22"/>
      <c r="AI913" s="24"/>
      <c r="AJ913" s="22"/>
      <c r="AK913" s="22"/>
      <c r="AL913" s="22"/>
    </row>
    <row r="914" spans="1:38" ht="14.25" customHeight="1" x14ac:dyDescent="0.35">
      <c r="A914" s="22"/>
      <c r="B914" s="22"/>
      <c r="C914" s="23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4"/>
      <c r="Z914" s="22"/>
      <c r="AA914" s="22"/>
      <c r="AB914" s="22"/>
      <c r="AC914" s="22"/>
      <c r="AD914" s="22"/>
      <c r="AE914" s="22"/>
      <c r="AF914" s="22"/>
      <c r="AG914" s="22"/>
      <c r="AH914" s="22"/>
      <c r="AI914" s="24"/>
      <c r="AJ914" s="22"/>
      <c r="AK914" s="22"/>
      <c r="AL914" s="22"/>
    </row>
    <row r="915" spans="1:38" ht="14.25" customHeight="1" x14ac:dyDescent="0.35">
      <c r="A915" s="22"/>
      <c r="B915" s="22"/>
      <c r="C915" s="23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4"/>
      <c r="Z915" s="22"/>
      <c r="AA915" s="22"/>
      <c r="AB915" s="22"/>
      <c r="AC915" s="22"/>
      <c r="AD915" s="22"/>
      <c r="AE915" s="22"/>
      <c r="AF915" s="22"/>
      <c r="AG915" s="22"/>
      <c r="AH915" s="22"/>
      <c r="AI915" s="24"/>
      <c r="AJ915" s="22"/>
      <c r="AK915" s="22"/>
      <c r="AL915" s="22"/>
    </row>
    <row r="916" spans="1:38" ht="14.25" customHeight="1" x14ac:dyDescent="0.35">
      <c r="A916" s="22"/>
      <c r="B916" s="22"/>
      <c r="C916" s="23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4"/>
      <c r="Z916" s="22"/>
      <c r="AA916" s="22"/>
      <c r="AB916" s="22"/>
      <c r="AC916" s="22"/>
      <c r="AD916" s="22"/>
      <c r="AE916" s="22"/>
      <c r="AF916" s="22"/>
      <c r="AG916" s="22"/>
      <c r="AH916" s="22"/>
      <c r="AI916" s="24"/>
      <c r="AJ916" s="22"/>
      <c r="AK916" s="22"/>
      <c r="AL916" s="22"/>
    </row>
    <row r="917" spans="1:38" ht="14.25" customHeight="1" x14ac:dyDescent="0.35">
      <c r="A917" s="22"/>
      <c r="B917" s="22"/>
      <c r="C917" s="23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4"/>
      <c r="Z917" s="22"/>
      <c r="AA917" s="22"/>
      <c r="AB917" s="22"/>
      <c r="AC917" s="22"/>
      <c r="AD917" s="22"/>
      <c r="AE917" s="22"/>
      <c r="AF917" s="22"/>
      <c r="AG917" s="22"/>
      <c r="AH917" s="22"/>
      <c r="AI917" s="24"/>
      <c r="AJ917" s="22"/>
      <c r="AK917" s="22"/>
      <c r="AL917" s="22"/>
    </row>
    <row r="918" spans="1:38" ht="14.25" customHeight="1" x14ac:dyDescent="0.35">
      <c r="A918" s="22"/>
      <c r="B918" s="22"/>
      <c r="C918" s="23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4"/>
      <c r="Z918" s="22"/>
      <c r="AA918" s="22"/>
      <c r="AB918" s="22"/>
      <c r="AC918" s="22"/>
      <c r="AD918" s="22"/>
      <c r="AE918" s="22"/>
      <c r="AF918" s="22"/>
      <c r="AG918" s="22"/>
      <c r="AH918" s="22"/>
      <c r="AI918" s="24"/>
      <c r="AJ918" s="22"/>
      <c r="AK918" s="22"/>
      <c r="AL918" s="22"/>
    </row>
    <row r="919" spans="1:38" ht="14.25" customHeight="1" x14ac:dyDescent="0.35">
      <c r="A919" s="22"/>
      <c r="B919" s="22"/>
      <c r="C919" s="23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4"/>
      <c r="Z919" s="22"/>
      <c r="AA919" s="22"/>
      <c r="AB919" s="22"/>
      <c r="AC919" s="22"/>
      <c r="AD919" s="22"/>
      <c r="AE919" s="22"/>
      <c r="AF919" s="22"/>
      <c r="AG919" s="22"/>
      <c r="AH919" s="22"/>
      <c r="AI919" s="24"/>
      <c r="AJ919" s="22"/>
      <c r="AK919" s="22"/>
      <c r="AL919" s="22"/>
    </row>
    <row r="920" spans="1:38" ht="14.25" customHeight="1" x14ac:dyDescent="0.35">
      <c r="A920" s="22"/>
      <c r="B920" s="22"/>
      <c r="C920" s="23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4"/>
      <c r="Z920" s="22"/>
      <c r="AA920" s="22"/>
      <c r="AB920" s="22"/>
      <c r="AC920" s="22"/>
      <c r="AD920" s="22"/>
      <c r="AE920" s="22"/>
      <c r="AF920" s="22"/>
      <c r="AG920" s="22"/>
      <c r="AH920" s="22"/>
      <c r="AI920" s="24"/>
      <c r="AJ920" s="22"/>
      <c r="AK920" s="22"/>
      <c r="AL920" s="22"/>
    </row>
    <row r="921" spans="1:38" ht="14.25" customHeight="1" x14ac:dyDescent="0.35">
      <c r="A921" s="22"/>
      <c r="B921" s="22"/>
      <c r="C921" s="23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4"/>
      <c r="Z921" s="22"/>
      <c r="AA921" s="22"/>
      <c r="AB921" s="22"/>
      <c r="AC921" s="22"/>
      <c r="AD921" s="22"/>
      <c r="AE921" s="22"/>
      <c r="AF921" s="22"/>
      <c r="AG921" s="22"/>
      <c r="AH921" s="22"/>
      <c r="AI921" s="24"/>
      <c r="AJ921" s="22"/>
      <c r="AK921" s="22"/>
      <c r="AL921" s="22"/>
    </row>
    <row r="922" spans="1:38" ht="14.25" customHeight="1" x14ac:dyDescent="0.35">
      <c r="A922" s="22"/>
      <c r="B922" s="22"/>
      <c r="C922" s="23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4"/>
      <c r="Z922" s="22"/>
      <c r="AA922" s="22"/>
      <c r="AB922" s="22"/>
      <c r="AC922" s="22"/>
      <c r="AD922" s="22"/>
      <c r="AE922" s="22"/>
      <c r="AF922" s="22"/>
      <c r="AG922" s="22"/>
      <c r="AH922" s="22"/>
      <c r="AI922" s="24"/>
      <c r="AJ922" s="22"/>
      <c r="AK922" s="22"/>
      <c r="AL922" s="22"/>
    </row>
    <row r="923" spans="1:38" ht="14.25" customHeight="1" x14ac:dyDescent="0.35">
      <c r="A923" s="22"/>
      <c r="B923" s="22"/>
      <c r="C923" s="23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4"/>
      <c r="Z923" s="22"/>
      <c r="AA923" s="22"/>
      <c r="AB923" s="22"/>
      <c r="AC923" s="22"/>
      <c r="AD923" s="22"/>
      <c r="AE923" s="22"/>
      <c r="AF923" s="22"/>
      <c r="AG923" s="22"/>
      <c r="AH923" s="22"/>
      <c r="AI923" s="24"/>
      <c r="AJ923" s="22"/>
      <c r="AK923" s="22"/>
      <c r="AL923" s="22"/>
    </row>
    <row r="924" spans="1:38" ht="14.25" customHeight="1" x14ac:dyDescent="0.35">
      <c r="A924" s="22"/>
      <c r="B924" s="22"/>
      <c r="C924" s="23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4"/>
      <c r="Z924" s="22"/>
      <c r="AA924" s="22"/>
      <c r="AB924" s="22"/>
      <c r="AC924" s="22"/>
      <c r="AD924" s="22"/>
      <c r="AE924" s="22"/>
      <c r="AF924" s="22"/>
      <c r="AG924" s="22"/>
      <c r="AH924" s="22"/>
      <c r="AI924" s="24"/>
      <c r="AJ924" s="22"/>
      <c r="AK924" s="22"/>
      <c r="AL924" s="22"/>
    </row>
    <row r="925" spans="1:38" ht="14.25" customHeight="1" x14ac:dyDescent="0.35">
      <c r="A925" s="22"/>
      <c r="B925" s="22"/>
      <c r="C925" s="23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4"/>
      <c r="Z925" s="22"/>
      <c r="AA925" s="22"/>
      <c r="AB925" s="22"/>
      <c r="AC925" s="22"/>
      <c r="AD925" s="22"/>
      <c r="AE925" s="22"/>
      <c r="AF925" s="22"/>
      <c r="AG925" s="22"/>
      <c r="AH925" s="22"/>
      <c r="AI925" s="24"/>
      <c r="AJ925" s="22"/>
      <c r="AK925" s="22"/>
      <c r="AL925" s="22"/>
    </row>
    <row r="926" spans="1:38" ht="14.25" customHeight="1" x14ac:dyDescent="0.35">
      <c r="A926" s="22"/>
      <c r="B926" s="22"/>
      <c r="C926" s="23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4"/>
      <c r="Z926" s="22"/>
      <c r="AA926" s="22"/>
      <c r="AB926" s="22"/>
      <c r="AC926" s="22"/>
      <c r="AD926" s="22"/>
      <c r="AE926" s="22"/>
      <c r="AF926" s="22"/>
      <c r="AG926" s="22"/>
      <c r="AH926" s="22"/>
      <c r="AI926" s="24"/>
      <c r="AJ926" s="22"/>
      <c r="AK926" s="22"/>
      <c r="AL926" s="22"/>
    </row>
    <row r="927" spans="1:38" ht="14.25" customHeight="1" x14ac:dyDescent="0.35">
      <c r="A927" s="22"/>
      <c r="B927" s="22"/>
      <c r="C927" s="23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4"/>
      <c r="Z927" s="22"/>
      <c r="AA927" s="22"/>
      <c r="AB927" s="22"/>
      <c r="AC927" s="22"/>
      <c r="AD927" s="22"/>
      <c r="AE927" s="22"/>
      <c r="AF927" s="22"/>
      <c r="AG927" s="22"/>
      <c r="AH927" s="22"/>
      <c r="AI927" s="24"/>
      <c r="AJ927" s="22"/>
      <c r="AK927" s="22"/>
      <c r="AL927" s="22"/>
    </row>
    <row r="928" spans="1:38" ht="14.25" customHeight="1" x14ac:dyDescent="0.35">
      <c r="A928" s="22"/>
      <c r="B928" s="22"/>
      <c r="C928" s="23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4"/>
      <c r="Z928" s="22"/>
      <c r="AA928" s="22"/>
      <c r="AB928" s="22"/>
      <c r="AC928" s="22"/>
      <c r="AD928" s="22"/>
      <c r="AE928" s="22"/>
      <c r="AF928" s="22"/>
      <c r="AG928" s="22"/>
      <c r="AH928" s="22"/>
      <c r="AI928" s="24"/>
      <c r="AJ928" s="22"/>
      <c r="AK928" s="22"/>
      <c r="AL928" s="22"/>
    </row>
    <row r="929" spans="1:38" ht="14.25" customHeight="1" x14ac:dyDescent="0.35">
      <c r="A929" s="22"/>
      <c r="B929" s="22"/>
      <c r="C929" s="23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4"/>
      <c r="Z929" s="22"/>
      <c r="AA929" s="22"/>
      <c r="AB929" s="22"/>
      <c r="AC929" s="22"/>
      <c r="AD929" s="22"/>
      <c r="AE929" s="22"/>
      <c r="AF929" s="22"/>
      <c r="AG929" s="22"/>
      <c r="AH929" s="22"/>
      <c r="AI929" s="24"/>
      <c r="AJ929" s="22"/>
      <c r="AK929" s="22"/>
      <c r="AL929" s="22"/>
    </row>
    <row r="930" spans="1:38" ht="14.25" customHeight="1" x14ac:dyDescent="0.35">
      <c r="A930" s="22"/>
      <c r="B930" s="22"/>
      <c r="C930" s="23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4"/>
      <c r="Z930" s="22"/>
      <c r="AA930" s="22"/>
      <c r="AB930" s="22"/>
      <c r="AC930" s="22"/>
      <c r="AD930" s="22"/>
      <c r="AE930" s="22"/>
      <c r="AF930" s="22"/>
      <c r="AG930" s="22"/>
      <c r="AH930" s="22"/>
      <c r="AI930" s="24"/>
      <c r="AJ930" s="22"/>
      <c r="AK930" s="22"/>
      <c r="AL930" s="22"/>
    </row>
    <row r="931" spans="1:38" ht="14.25" customHeight="1" x14ac:dyDescent="0.35">
      <c r="A931" s="22"/>
      <c r="B931" s="22"/>
      <c r="C931" s="23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4"/>
      <c r="Z931" s="22"/>
      <c r="AA931" s="22"/>
      <c r="AB931" s="22"/>
      <c r="AC931" s="22"/>
      <c r="AD931" s="22"/>
      <c r="AE931" s="22"/>
      <c r="AF931" s="22"/>
      <c r="AG931" s="22"/>
      <c r="AH931" s="22"/>
      <c r="AI931" s="24"/>
      <c r="AJ931" s="22"/>
      <c r="AK931" s="22"/>
      <c r="AL931" s="22"/>
    </row>
    <row r="932" spans="1:38" ht="14.25" customHeight="1" x14ac:dyDescent="0.35">
      <c r="A932" s="22"/>
      <c r="B932" s="22"/>
      <c r="C932" s="23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4"/>
      <c r="Z932" s="22"/>
      <c r="AA932" s="22"/>
      <c r="AB932" s="22"/>
      <c r="AC932" s="22"/>
      <c r="AD932" s="22"/>
      <c r="AE932" s="22"/>
      <c r="AF932" s="22"/>
      <c r="AG932" s="22"/>
      <c r="AH932" s="22"/>
      <c r="AI932" s="24"/>
      <c r="AJ932" s="22"/>
      <c r="AK932" s="22"/>
      <c r="AL932" s="22"/>
    </row>
    <row r="933" spans="1:38" ht="14.25" customHeight="1" x14ac:dyDescent="0.35">
      <c r="A933" s="22"/>
      <c r="B933" s="22"/>
      <c r="C933" s="23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4"/>
      <c r="Z933" s="22"/>
      <c r="AA933" s="22"/>
      <c r="AB933" s="22"/>
      <c r="AC933" s="22"/>
      <c r="AD933" s="22"/>
      <c r="AE933" s="22"/>
      <c r="AF933" s="22"/>
      <c r="AG933" s="22"/>
      <c r="AH933" s="22"/>
      <c r="AI933" s="24"/>
      <c r="AJ933" s="22"/>
      <c r="AK933" s="22"/>
      <c r="AL933" s="22"/>
    </row>
    <row r="934" spans="1:38" ht="14.25" customHeight="1" x14ac:dyDescent="0.35">
      <c r="A934" s="22"/>
      <c r="B934" s="22"/>
      <c r="C934" s="23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4"/>
      <c r="Z934" s="22"/>
      <c r="AA934" s="22"/>
      <c r="AB934" s="22"/>
      <c r="AC934" s="22"/>
      <c r="AD934" s="22"/>
      <c r="AE934" s="22"/>
      <c r="AF934" s="22"/>
      <c r="AG934" s="22"/>
      <c r="AH934" s="22"/>
      <c r="AI934" s="24"/>
      <c r="AJ934" s="22"/>
      <c r="AK934" s="22"/>
      <c r="AL934" s="22"/>
    </row>
    <row r="935" spans="1:38" ht="14.25" customHeight="1" x14ac:dyDescent="0.35">
      <c r="A935" s="22"/>
      <c r="B935" s="22"/>
      <c r="C935" s="23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4"/>
      <c r="Z935" s="22"/>
      <c r="AA935" s="22"/>
      <c r="AB935" s="22"/>
      <c r="AC935" s="22"/>
      <c r="AD935" s="22"/>
      <c r="AE935" s="22"/>
      <c r="AF935" s="22"/>
      <c r="AG935" s="22"/>
      <c r="AH935" s="22"/>
      <c r="AI935" s="24"/>
      <c r="AJ935" s="22"/>
      <c r="AK935" s="22"/>
      <c r="AL935" s="22"/>
    </row>
    <row r="936" spans="1:38" ht="14.25" customHeight="1" x14ac:dyDescent="0.35">
      <c r="A936" s="22"/>
      <c r="B936" s="22"/>
      <c r="C936" s="23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4"/>
      <c r="Z936" s="22"/>
      <c r="AA936" s="22"/>
      <c r="AB936" s="22"/>
      <c r="AC936" s="22"/>
      <c r="AD936" s="22"/>
      <c r="AE936" s="22"/>
      <c r="AF936" s="22"/>
      <c r="AG936" s="22"/>
      <c r="AH936" s="22"/>
      <c r="AI936" s="24"/>
      <c r="AJ936" s="22"/>
      <c r="AK936" s="22"/>
      <c r="AL936" s="22"/>
    </row>
    <row r="937" spans="1:38" ht="14.25" customHeight="1" x14ac:dyDescent="0.35">
      <c r="A937" s="22"/>
      <c r="B937" s="22"/>
      <c r="C937" s="23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4"/>
      <c r="Z937" s="22"/>
      <c r="AA937" s="22"/>
      <c r="AB937" s="22"/>
      <c r="AC937" s="22"/>
      <c r="AD937" s="22"/>
      <c r="AE937" s="22"/>
      <c r="AF937" s="22"/>
      <c r="AG937" s="22"/>
      <c r="AH937" s="22"/>
      <c r="AI937" s="24"/>
      <c r="AJ937" s="22"/>
      <c r="AK937" s="22"/>
      <c r="AL937" s="22"/>
    </row>
    <row r="938" spans="1:38" ht="14.25" customHeight="1" x14ac:dyDescent="0.35">
      <c r="A938" s="22"/>
      <c r="B938" s="22"/>
      <c r="C938" s="23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4"/>
      <c r="Z938" s="22"/>
      <c r="AA938" s="22"/>
      <c r="AB938" s="22"/>
      <c r="AC938" s="22"/>
      <c r="AD938" s="22"/>
      <c r="AE938" s="22"/>
      <c r="AF938" s="22"/>
      <c r="AG938" s="22"/>
      <c r="AH938" s="22"/>
      <c r="AI938" s="24"/>
      <c r="AJ938" s="22"/>
      <c r="AK938" s="22"/>
      <c r="AL938" s="22"/>
    </row>
    <row r="939" spans="1:38" ht="14.25" customHeight="1" x14ac:dyDescent="0.35">
      <c r="A939" s="22"/>
      <c r="B939" s="22"/>
      <c r="C939" s="23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4"/>
      <c r="Z939" s="22"/>
      <c r="AA939" s="22"/>
      <c r="AB939" s="22"/>
      <c r="AC939" s="22"/>
      <c r="AD939" s="22"/>
      <c r="AE939" s="22"/>
      <c r="AF939" s="22"/>
      <c r="AG939" s="22"/>
      <c r="AH939" s="22"/>
      <c r="AI939" s="24"/>
      <c r="AJ939" s="22"/>
      <c r="AK939" s="22"/>
      <c r="AL939" s="22"/>
    </row>
    <row r="940" spans="1:38" ht="14.25" customHeight="1" x14ac:dyDescent="0.35">
      <c r="A940" s="22"/>
      <c r="B940" s="22"/>
      <c r="C940" s="23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4"/>
      <c r="Z940" s="22"/>
      <c r="AA940" s="22"/>
      <c r="AB940" s="22"/>
      <c r="AC940" s="22"/>
      <c r="AD940" s="22"/>
      <c r="AE940" s="22"/>
      <c r="AF940" s="22"/>
      <c r="AG940" s="22"/>
      <c r="AH940" s="22"/>
      <c r="AI940" s="24"/>
      <c r="AJ940" s="22"/>
      <c r="AK940" s="22"/>
      <c r="AL940" s="22"/>
    </row>
    <row r="941" spans="1:38" ht="14.25" customHeight="1" x14ac:dyDescent="0.35">
      <c r="A941" s="22"/>
      <c r="B941" s="22"/>
      <c r="C941" s="23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4"/>
      <c r="Z941" s="22"/>
      <c r="AA941" s="22"/>
      <c r="AB941" s="22"/>
      <c r="AC941" s="22"/>
      <c r="AD941" s="22"/>
      <c r="AE941" s="22"/>
      <c r="AF941" s="22"/>
      <c r="AG941" s="22"/>
      <c r="AH941" s="22"/>
      <c r="AI941" s="24"/>
      <c r="AJ941" s="22"/>
      <c r="AK941" s="22"/>
      <c r="AL941" s="22"/>
    </row>
    <row r="942" spans="1:38" ht="14.25" customHeight="1" x14ac:dyDescent="0.35">
      <c r="A942" s="22"/>
      <c r="B942" s="22"/>
      <c r="C942" s="23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4"/>
      <c r="Z942" s="22"/>
      <c r="AA942" s="22"/>
      <c r="AB942" s="22"/>
      <c r="AC942" s="22"/>
      <c r="AD942" s="22"/>
      <c r="AE942" s="22"/>
      <c r="AF942" s="22"/>
      <c r="AG942" s="22"/>
      <c r="AH942" s="22"/>
      <c r="AI942" s="24"/>
      <c r="AJ942" s="22"/>
      <c r="AK942" s="22"/>
      <c r="AL942" s="22"/>
    </row>
    <row r="943" spans="1:38" ht="14.25" customHeight="1" x14ac:dyDescent="0.35">
      <c r="A943" s="22"/>
      <c r="B943" s="22"/>
      <c r="C943" s="23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4"/>
      <c r="Z943" s="22"/>
      <c r="AA943" s="22"/>
      <c r="AB943" s="22"/>
      <c r="AC943" s="22"/>
      <c r="AD943" s="22"/>
      <c r="AE943" s="22"/>
      <c r="AF943" s="22"/>
      <c r="AG943" s="22"/>
      <c r="AH943" s="22"/>
      <c r="AI943" s="24"/>
      <c r="AJ943" s="22"/>
      <c r="AK943" s="22"/>
      <c r="AL943" s="22"/>
    </row>
    <row r="944" spans="1:38" ht="14.25" customHeight="1" x14ac:dyDescent="0.35">
      <c r="A944" s="22"/>
      <c r="B944" s="22"/>
      <c r="C944" s="23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4"/>
      <c r="Z944" s="22"/>
      <c r="AA944" s="22"/>
      <c r="AB944" s="22"/>
      <c r="AC944" s="22"/>
      <c r="AD944" s="22"/>
      <c r="AE944" s="22"/>
      <c r="AF944" s="22"/>
      <c r="AG944" s="22"/>
      <c r="AH944" s="22"/>
      <c r="AI944" s="24"/>
      <c r="AJ944" s="22"/>
      <c r="AK944" s="22"/>
      <c r="AL944" s="22"/>
    </row>
    <row r="945" spans="1:38" ht="14.25" customHeight="1" x14ac:dyDescent="0.35">
      <c r="A945" s="22"/>
      <c r="B945" s="22"/>
      <c r="C945" s="23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4"/>
      <c r="Z945" s="22"/>
      <c r="AA945" s="22"/>
      <c r="AB945" s="22"/>
      <c r="AC945" s="22"/>
      <c r="AD945" s="22"/>
      <c r="AE945" s="22"/>
      <c r="AF945" s="22"/>
      <c r="AG945" s="22"/>
      <c r="AH945" s="22"/>
      <c r="AI945" s="24"/>
      <c r="AJ945" s="22"/>
      <c r="AK945" s="22"/>
      <c r="AL945" s="22"/>
    </row>
    <row r="946" spans="1:38" ht="14.25" customHeight="1" x14ac:dyDescent="0.35">
      <c r="A946" s="22"/>
      <c r="B946" s="22"/>
      <c r="C946" s="23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4"/>
      <c r="Z946" s="22"/>
      <c r="AA946" s="22"/>
      <c r="AB946" s="22"/>
      <c r="AC946" s="22"/>
      <c r="AD946" s="22"/>
      <c r="AE946" s="22"/>
      <c r="AF946" s="22"/>
      <c r="AG946" s="22"/>
      <c r="AH946" s="22"/>
      <c r="AI946" s="24"/>
      <c r="AJ946" s="22"/>
      <c r="AK946" s="22"/>
      <c r="AL946" s="22"/>
    </row>
    <row r="947" spans="1:38" ht="14.25" customHeight="1" x14ac:dyDescent="0.35">
      <c r="A947" s="22"/>
      <c r="B947" s="22"/>
      <c r="C947" s="23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4"/>
      <c r="Z947" s="22"/>
      <c r="AA947" s="22"/>
      <c r="AB947" s="22"/>
      <c r="AC947" s="22"/>
      <c r="AD947" s="22"/>
      <c r="AE947" s="22"/>
      <c r="AF947" s="22"/>
      <c r="AG947" s="22"/>
      <c r="AH947" s="22"/>
      <c r="AI947" s="24"/>
      <c r="AJ947" s="22"/>
      <c r="AK947" s="22"/>
      <c r="AL947" s="22"/>
    </row>
    <row r="948" spans="1:38" ht="14.25" customHeight="1" x14ac:dyDescent="0.35">
      <c r="A948" s="22"/>
      <c r="B948" s="22"/>
      <c r="C948" s="23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4"/>
      <c r="Z948" s="22"/>
      <c r="AA948" s="22"/>
      <c r="AB948" s="22"/>
      <c r="AC948" s="22"/>
      <c r="AD948" s="22"/>
      <c r="AE948" s="22"/>
      <c r="AF948" s="22"/>
      <c r="AG948" s="22"/>
      <c r="AH948" s="22"/>
      <c r="AI948" s="24"/>
      <c r="AJ948" s="22"/>
      <c r="AK948" s="22"/>
      <c r="AL948" s="22"/>
    </row>
    <row r="949" spans="1:38" ht="14.25" customHeight="1" x14ac:dyDescent="0.35">
      <c r="A949" s="22"/>
      <c r="B949" s="22"/>
      <c r="C949" s="23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4"/>
      <c r="Z949" s="22"/>
      <c r="AA949" s="22"/>
      <c r="AB949" s="22"/>
      <c r="AC949" s="22"/>
      <c r="AD949" s="22"/>
      <c r="AE949" s="22"/>
      <c r="AF949" s="22"/>
      <c r="AG949" s="22"/>
      <c r="AH949" s="22"/>
      <c r="AI949" s="24"/>
      <c r="AJ949" s="22"/>
      <c r="AK949" s="22"/>
      <c r="AL949" s="22"/>
    </row>
    <row r="950" spans="1:38" ht="14.25" customHeight="1" x14ac:dyDescent="0.35">
      <c r="A950" s="22"/>
      <c r="B950" s="22"/>
      <c r="C950" s="23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4"/>
      <c r="Z950" s="22"/>
      <c r="AA950" s="22"/>
      <c r="AB950" s="22"/>
      <c r="AC950" s="22"/>
      <c r="AD950" s="22"/>
      <c r="AE950" s="22"/>
      <c r="AF950" s="22"/>
      <c r="AG950" s="22"/>
      <c r="AH950" s="22"/>
      <c r="AI950" s="24"/>
      <c r="AJ950" s="22"/>
      <c r="AK950" s="22"/>
      <c r="AL950" s="22"/>
    </row>
    <row r="951" spans="1:38" ht="14.25" customHeight="1" x14ac:dyDescent="0.35">
      <c r="A951" s="22"/>
      <c r="B951" s="22"/>
      <c r="C951" s="23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4"/>
      <c r="Z951" s="22"/>
      <c r="AA951" s="22"/>
      <c r="AB951" s="22"/>
      <c r="AC951" s="22"/>
      <c r="AD951" s="22"/>
      <c r="AE951" s="22"/>
      <c r="AF951" s="22"/>
      <c r="AG951" s="22"/>
      <c r="AH951" s="22"/>
      <c r="AI951" s="24"/>
      <c r="AJ951" s="22"/>
      <c r="AK951" s="22"/>
      <c r="AL951" s="22"/>
    </row>
    <row r="952" spans="1:38" ht="14.25" customHeight="1" x14ac:dyDescent="0.35">
      <c r="A952" s="22"/>
      <c r="B952" s="22"/>
      <c r="C952" s="23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4"/>
      <c r="Z952" s="22"/>
      <c r="AA952" s="22"/>
      <c r="AB952" s="22"/>
      <c r="AC952" s="22"/>
      <c r="AD952" s="22"/>
      <c r="AE952" s="22"/>
      <c r="AF952" s="22"/>
      <c r="AG952" s="22"/>
      <c r="AH952" s="22"/>
      <c r="AI952" s="24"/>
      <c r="AJ952" s="22"/>
      <c r="AK952" s="22"/>
      <c r="AL952" s="22"/>
    </row>
    <row r="953" spans="1:38" ht="14.25" customHeight="1" x14ac:dyDescent="0.35">
      <c r="A953" s="22"/>
      <c r="B953" s="22"/>
      <c r="C953" s="23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4"/>
      <c r="Z953" s="22"/>
      <c r="AA953" s="22"/>
      <c r="AB953" s="22"/>
      <c r="AC953" s="22"/>
      <c r="AD953" s="22"/>
      <c r="AE953" s="22"/>
      <c r="AF953" s="22"/>
      <c r="AG953" s="22"/>
      <c r="AH953" s="22"/>
      <c r="AI953" s="24"/>
      <c r="AJ953" s="22"/>
      <c r="AK953" s="22"/>
      <c r="AL953" s="22"/>
    </row>
    <row r="954" spans="1:38" ht="14.25" customHeight="1" x14ac:dyDescent="0.35">
      <c r="A954" s="22"/>
      <c r="B954" s="22"/>
      <c r="C954" s="23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4"/>
      <c r="Z954" s="22"/>
      <c r="AA954" s="22"/>
      <c r="AB954" s="22"/>
      <c r="AC954" s="22"/>
      <c r="AD954" s="22"/>
      <c r="AE954" s="22"/>
      <c r="AF954" s="22"/>
      <c r="AG954" s="22"/>
      <c r="AH954" s="22"/>
      <c r="AI954" s="24"/>
      <c r="AJ954" s="22"/>
      <c r="AK954" s="22"/>
      <c r="AL954" s="22"/>
    </row>
    <row r="955" spans="1:38" ht="14.25" customHeight="1" x14ac:dyDescent="0.35">
      <c r="A955" s="22"/>
      <c r="B955" s="22"/>
      <c r="C955" s="23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4"/>
      <c r="Z955" s="22"/>
      <c r="AA955" s="22"/>
      <c r="AB955" s="22"/>
      <c r="AC955" s="22"/>
      <c r="AD955" s="22"/>
      <c r="AE955" s="22"/>
      <c r="AF955" s="22"/>
      <c r="AG955" s="22"/>
      <c r="AH955" s="22"/>
      <c r="AI955" s="24"/>
      <c r="AJ955" s="22"/>
      <c r="AK955" s="22"/>
      <c r="AL955" s="22"/>
    </row>
    <row r="956" spans="1:38" ht="14.25" customHeight="1" x14ac:dyDescent="0.35">
      <c r="A956" s="22"/>
      <c r="B956" s="22"/>
      <c r="C956" s="23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4"/>
      <c r="Z956" s="22"/>
      <c r="AA956" s="22"/>
      <c r="AB956" s="22"/>
      <c r="AC956" s="22"/>
      <c r="AD956" s="22"/>
      <c r="AE956" s="22"/>
      <c r="AF956" s="22"/>
      <c r="AG956" s="22"/>
      <c r="AH956" s="22"/>
      <c r="AI956" s="24"/>
      <c r="AJ956" s="22"/>
      <c r="AK956" s="22"/>
      <c r="AL956" s="22"/>
    </row>
    <row r="957" spans="1:38" ht="14.25" customHeight="1" x14ac:dyDescent="0.35">
      <c r="A957" s="22"/>
      <c r="B957" s="22"/>
      <c r="C957" s="23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4"/>
      <c r="Z957" s="22"/>
      <c r="AA957" s="22"/>
      <c r="AB957" s="22"/>
      <c r="AC957" s="22"/>
      <c r="AD957" s="22"/>
      <c r="AE957" s="22"/>
      <c r="AF957" s="22"/>
      <c r="AG957" s="22"/>
      <c r="AH957" s="22"/>
      <c r="AI957" s="24"/>
      <c r="AJ957" s="22"/>
      <c r="AK957" s="22"/>
      <c r="AL957" s="22"/>
    </row>
    <row r="958" spans="1:38" ht="14.25" customHeight="1" x14ac:dyDescent="0.35">
      <c r="A958" s="22"/>
      <c r="B958" s="22"/>
      <c r="C958" s="23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4"/>
      <c r="Z958" s="22"/>
      <c r="AA958" s="22"/>
      <c r="AB958" s="22"/>
      <c r="AC958" s="22"/>
      <c r="AD958" s="22"/>
      <c r="AE958" s="22"/>
      <c r="AF958" s="22"/>
      <c r="AG958" s="22"/>
      <c r="AH958" s="22"/>
      <c r="AI958" s="24"/>
      <c r="AJ958" s="22"/>
      <c r="AK958" s="22"/>
      <c r="AL958" s="22"/>
    </row>
    <row r="959" spans="1:38" ht="14.25" customHeight="1" x14ac:dyDescent="0.35">
      <c r="A959" s="22"/>
      <c r="B959" s="22"/>
      <c r="C959" s="23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4"/>
      <c r="Z959" s="22"/>
      <c r="AA959" s="22"/>
      <c r="AB959" s="22"/>
      <c r="AC959" s="22"/>
      <c r="AD959" s="22"/>
      <c r="AE959" s="22"/>
      <c r="AF959" s="22"/>
      <c r="AG959" s="22"/>
      <c r="AH959" s="22"/>
      <c r="AI959" s="24"/>
      <c r="AJ959" s="22"/>
      <c r="AK959" s="22"/>
      <c r="AL959" s="22"/>
    </row>
    <row r="960" spans="1:38" ht="14.25" customHeight="1" x14ac:dyDescent="0.35">
      <c r="A960" s="22"/>
      <c r="B960" s="22"/>
      <c r="C960" s="23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4"/>
      <c r="Z960" s="22"/>
      <c r="AA960" s="22"/>
      <c r="AB960" s="22"/>
      <c r="AC960" s="22"/>
      <c r="AD960" s="22"/>
      <c r="AE960" s="22"/>
      <c r="AF960" s="22"/>
      <c r="AG960" s="22"/>
      <c r="AH960" s="22"/>
      <c r="AI960" s="24"/>
      <c r="AJ960" s="22"/>
      <c r="AK960" s="22"/>
      <c r="AL960" s="22"/>
    </row>
    <row r="961" spans="1:38" ht="14.25" customHeight="1" x14ac:dyDescent="0.35">
      <c r="A961" s="22"/>
      <c r="B961" s="22"/>
      <c r="C961" s="23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4"/>
      <c r="Z961" s="22"/>
      <c r="AA961" s="22"/>
      <c r="AB961" s="22"/>
      <c r="AC961" s="22"/>
      <c r="AD961" s="22"/>
      <c r="AE961" s="22"/>
      <c r="AF961" s="22"/>
      <c r="AG961" s="22"/>
      <c r="AH961" s="22"/>
      <c r="AI961" s="24"/>
      <c r="AJ961" s="22"/>
      <c r="AK961" s="22"/>
      <c r="AL961" s="22"/>
    </row>
    <row r="962" spans="1:38" ht="14.25" customHeight="1" x14ac:dyDescent="0.35">
      <c r="A962" s="22"/>
      <c r="B962" s="22"/>
      <c r="C962" s="23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4"/>
      <c r="Z962" s="22"/>
      <c r="AA962" s="22"/>
      <c r="AB962" s="22"/>
      <c r="AC962" s="22"/>
      <c r="AD962" s="22"/>
      <c r="AE962" s="22"/>
      <c r="AF962" s="22"/>
      <c r="AG962" s="22"/>
      <c r="AH962" s="22"/>
      <c r="AI962" s="24"/>
      <c r="AJ962" s="22"/>
      <c r="AK962" s="22"/>
      <c r="AL962" s="22"/>
    </row>
    <row r="963" spans="1:38" ht="14.25" customHeight="1" x14ac:dyDescent="0.35">
      <c r="A963" s="22"/>
      <c r="B963" s="22"/>
      <c r="C963" s="23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4"/>
      <c r="Z963" s="22"/>
      <c r="AA963" s="22"/>
      <c r="AB963" s="22"/>
      <c r="AC963" s="22"/>
      <c r="AD963" s="22"/>
      <c r="AE963" s="22"/>
      <c r="AF963" s="22"/>
      <c r="AG963" s="22"/>
      <c r="AH963" s="22"/>
      <c r="AI963" s="24"/>
      <c r="AJ963" s="22"/>
      <c r="AK963" s="22"/>
      <c r="AL963" s="22"/>
    </row>
    <row r="964" spans="1:38" ht="14.25" customHeight="1" x14ac:dyDescent="0.35">
      <c r="A964" s="22"/>
      <c r="B964" s="22"/>
      <c r="C964" s="23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4"/>
      <c r="Z964" s="22"/>
      <c r="AA964" s="22"/>
      <c r="AB964" s="22"/>
      <c r="AC964" s="22"/>
      <c r="AD964" s="22"/>
      <c r="AE964" s="22"/>
      <c r="AF964" s="22"/>
      <c r="AG964" s="22"/>
      <c r="AH964" s="22"/>
      <c r="AI964" s="24"/>
      <c r="AJ964" s="22"/>
      <c r="AK964" s="22"/>
      <c r="AL964" s="22"/>
    </row>
    <row r="965" spans="1:38" ht="14.25" customHeight="1" x14ac:dyDescent="0.35">
      <c r="A965" s="22"/>
      <c r="B965" s="22"/>
      <c r="C965" s="23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4"/>
      <c r="Z965" s="22"/>
      <c r="AA965" s="22"/>
      <c r="AB965" s="22"/>
      <c r="AC965" s="22"/>
      <c r="AD965" s="22"/>
      <c r="AE965" s="22"/>
      <c r="AF965" s="22"/>
      <c r="AG965" s="22"/>
      <c r="AH965" s="22"/>
      <c r="AI965" s="24"/>
      <c r="AJ965" s="22"/>
      <c r="AK965" s="22"/>
      <c r="AL965" s="22"/>
    </row>
    <row r="966" spans="1:38" ht="14.25" customHeight="1" x14ac:dyDescent="0.35">
      <c r="A966" s="22"/>
      <c r="B966" s="22"/>
      <c r="C966" s="23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4"/>
      <c r="Z966" s="22"/>
      <c r="AA966" s="22"/>
      <c r="AB966" s="22"/>
      <c r="AC966" s="22"/>
      <c r="AD966" s="22"/>
      <c r="AE966" s="22"/>
      <c r="AF966" s="22"/>
      <c r="AG966" s="22"/>
      <c r="AH966" s="22"/>
      <c r="AI966" s="24"/>
      <c r="AJ966" s="22"/>
      <c r="AK966" s="22"/>
      <c r="AL966" s="22"/>
    </row>
    <row r="967" spans="1:38" ht="14.25" customHeight="1" x14ac:dyDescent="0.35">
      <c r="A967" s="22"/>
      <c r="B967" s="22"/>
      <c r="C967" s="23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4"/>
      <c r="Z967" s="22"/>
      <c r="AA967" s="22"/>
      <c r="AB967" s="22"/>
      <c r="AC967" s="22"/>
      <c r="AD967" s="22"/>
      <c r="AE967" s="22"/>
      <c r="AF967" s="22"/>
      <c r="AG967" s="22"/>
      <c r="AH967" s="22"/>
      <c r="AI967" s="24"/>
      <c r="AJ967" s="22"/>
      <c r="AK967" s="22"/>
      <c r="AL967" s="22"/>
    </row>
    <row r="968" spans="1:38" ht="14.25" customHeight="1" x14ac:dyDescent="0.35">
      <c r="A968" s="22"/>
      <c r="B968" s="22"/>
      <c r="C968" s="23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4"/>
      <c r="Z968" s="22"/>
      <c r="AA968" s="22"/>
      <c r="AB968" s="22"/>
      <c r="AC968" s="22"/>
      <c r="AD968" s="22"/>
      <c r="AE968" s="22"/>
      <c r="AF968" s="22"/>
      <c r="AG968" s="22"/>
      <c r="AH968" s="22"/>
      <c r="AI968" s="24"/>
      <c r="AJ968" s="22"/>
      <c r="AK968" s="22"/>
      <c r="AL968" s="22"/>
    </row>
    <row r="969" spans="1:38" ht="14.25" customHeight="1" x14ac:dyDescent="0.35">
      <c r="A969" s="22"/>
      <c r="B969" s="22"/>
      <c r="C969" s="23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4"/>
      <c r="Z969" s="22"/>
      <c r="AA969" s="22"/>
      <c r="AB969" s="22"/>
      <c r="AC969" s="22"/>
      <c r="AD969" s="22"/>
      <c r="AE969" s="22"/>
      <c r="AF969" s="22"/>
      <c r="AG969" s="22"/>
      <c r="AH969" s="22"/>
      <c r="AI969" s="24"/>
      <c r="AJ969" s="22"/>
      <c r="AK969" s="22"/>
      <c r="AL969" s="22"/>
    </row>
    <row r="970" spans="1:38" ht="14.25" customHeight="1" x14ac:dyDescent="0.35">
      <c r="A970" s="22"/>
      <c r="B970" s="22"/>
      <c r="C970" s="23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4"/>
      <c r="Z970" s="22"/>
      <c r="AA970" s="22"/>
      <c r="AB970" s="22"/>
      <c r="AC970" s="22"/>
      <c r="AD970" s="22"/>
      <c r="AE970" s="22"/>
      <c r="AF970" s="22"/>
      <c r="AG970" s="22"/>
      <c r="AH970" s="22"/>
      <c r="AI970" s="24"/>
      <c r="AJ970" s="22"/>
      <c r="AK970" s="22"/>
      <c r="AL970" s="22"/>
    </row>
    <row r="971" spans="1:38" ht="14.25" customHeight="1" x14ac:dyDescent="0.35">
      <c r="A971" s="22"/>
      <c r="B971" s="22"/>
      <c r="C971" s="23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4"/>
      <c r="Z971" s="22"/>
      <c r="AA971" s="22"/>
      <c r="AB971" s="22"/>
      <c r="AC971" s="22"/>
      <c r="AD971" s="22"/>
      <c r="AE971" s="22"/>
      <c r="AF971" s="22"/>
      <c r="AG971" s="22"/>
      <c r="AH971" s="22"/>
      <c r="AI971" s="24"/>
      <c r="AJ971" s="22"/>
      <c r="AK971" s="22"/>
      <c r="AL971" s="22"/>
    </row>
    <row r="972" spans="1:38" ht="14.25" customHeight="1" x14ac:dyDescent="0.35">
      <c r="A972" s="22"/>
      <c r="B972" s="22"/>
      <c r="C972" s="23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4"/>
      <c r="Z972" s="22"/>
      <c r="AA972" s="22"/>
      <c r="AB972" s="22"/>
      <c r="AC972" s="22"/>
      <c r="AD972" s="22"/>
      <c r="AE972" s="22"/>
      <c r="AF972" s="22"/>
      <c r="AG972" s="22"/>
      <c r="AH972" s="22"/>
      <c r="AI972" s="24"/>
      <c r="AJ972" s="22"/>
      <c r="AK972" s="22"/>
      <c r="AL972" s="22"/>
    </row>
    <row r="973" spans="1:38" ht="14.25" customHeight="1" x14ac:dyDescent="0.35">
      <c r="A973" s="22"/>
      <c r="B973" s="22"/>
      <c r="C973" s="23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4"/>
      <c r="Z973" s="22"/>
      <c r="AA973" s="22"/>
      <c r="AB973" s="22"/>
      <c r="AC973" s="22"/>
      <c r="AD973" s="22"/>
      <c r="AE973" s="22"/>
      <c r="AF973" s="22"/>
      <c r="AG973" s="22"/>
      <c r="AH973" s="22"/>
      <c r="AI973" s="24"/>
      <c r="AJ973" s="22"/>
      <c r="AK973" s="22"/>
      <c r="AL973" s="22"/>
    </row>
    <row r="974" spans="1:38" ht="14.25" customHeight="1" x14ac:dyDescent="0.35">
      <c r="A974" s="22"/>
      <c r="B974" s="22"/>
      <c r="C974" s="23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4"/>
      <c r="Z974" s="22"/>
      <c r="AA974" s="22"/>
      <c r="AB974" s="22"/>
      <c r="AC974" s="22"/>
      <c r="AD974" s="22"/>
      <c r="AE974" s="22"/>
      <c r="AF974" s="22"/>
      <c r="AG974" s="22"/>
      <c r="AH974" s="22"/>
      <c r="AI974" s="24"/>
      <c r="AJ974" s="22"/>
      <c r="AK974" s="22"/>
      <c r="AL974" s="22"/>
    </row>
    <row r="975" spans="1:38" ht="14.25" customHeight="1" x14ac:dyDescent="0.35">
      <c r="A975" s="22"/>
      <c r="B975" s="22"/>
      <c r="C975" s="23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4"/>
      <c r="Z975" s="22"/>
      <c r="AA975" s="22"/>
      <c r="AB975" s="22"/>
      <c r="AC975" s="22"/>
      <c r="AD975" s="22"/>
      <c r="AE975" s="22"/>
      <c r="AF975" s="22"/>
      <c r="AG975" s="22"/>
      <c r="AH975" s="22"/>
      <c r="AI975" s="24"/>
      <c r="AJ975" s="22"/>
      <c r="AK975" s="22"/>
      <c r="AL975" s="22"/>
    </row>
    <row r="976" spans="1:38" ht="14.25" customHeight="1" x14ac:dyDescent="0.35">
      <c r="A976" s="22"/>
      <c r="B976" s="22"/>
      <c r="C976" s="23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4"/>
      <c r="Z976" s="22"/>
      <c r="AA976" s="22"/>
      <c r="AB976" s="22"/>
      <c r="AC976" s="22"/>
      <c r="AD976" s="22"/>
      <c r="AE976" s="22"/>
      <c r="AF976" s="22"/>
      <c r="AG976" s="22"/>
      <c r="AH976" s="22"/>
      <c r="AI976" s="24"/>
      <c r="AJ976" s="22"/>
      <c r="AK976" s="22"/>
      <c r="AL976" s="22"/>
    </row>
    <row r="977" spans="1:38" ht="14.25" customHeight="1" x14ac:dyDescent="0.35">
      <c r="A977" s="22"/>
      <c r="B977" s="22"/>
      <c r="C977" s="23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4"/>
      <c r="Z977" s="22"/>
      <c r="AA977" s="22"/>
      <c r="AB977" s="22"/>
      <c r="AC977" s="22"/>
      <c r="AD977" s="22"/>
      <c r="AE977" s="22"/>
      <c r="AF977" s="22"/>
      <c r="AG977" s="22"/>
      <c r="AH977" s="22"/>
      <c r="AI977" s="24"/>
      <c r="AJ977" s="22"/>
      <c r="AK977" s="22"/>
      <c r="AL977" s="22"/>
    </row>
    <row r="978" spans="1:38" ht="14.25" customHeight="1" x14ac:dyDescent="0.35">
      <c r="A978" s="22"/>
      <c r="B978" s="22"/>
      <c r="C978" s="23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4"/>
      <c r="Z978" s="22"/>
      <c r="AA978" s="22"/>
      <c r="AB978" s="22"/>
      <c r="AC978" s="22"/>
      <c r="AD978" s="22"/>
      <c r="AE978" s="22"/>
      <c r="AF978" s="22"/>
      <c r="AG978" s="22"/>
      <c r="AH978" s="22"/>
      <c r="AI978" s="24"/>
      <c r="AJ978" s="22"/>
      <c r="AK978" s="22"/>
      <c r="AL978" s="22"/>
    </row>
    <row r="979" spans="1:38" ht="14.25" customHeight="1" x14ac:dyDescent="0.35">
      <c r="A979" s="22"/>
      <c r="B979" s="22"/>
      <c r="C979" s="23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4"/>
      <c r="Z979" s="22"/>
      <c r="AA979" s="22"/>
      <c r="AB979" s="22"/>
      <c r="AC979" s="22"/>
      <c r="AD979" s="22"/>
      <c r="AE979" s="22"/>
      <c r="AF979" s="22"/>
      <c r="AG979" s="22"/>
      <c r="AH979" s="22"/>
      <c r="AI979" s="24"/>
      <c r="AJ979" s="22"/>
      <c r="AK979" s="22"/>
      <c r="AL979" s="22"/>
    </row>
    <row r="980" spans="1:38" ht="14.25" customHeight="1" x14ac:dyDescent="0.35">
      <c r="A980" s="22"/>
      <c r="B980" s="22"/>
      <c r="C980" s="23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4"/>
      <c r="Z980" s="22"/>
      <c r="AA980" s="22"/>
      <c r="AB980" s="22"/>
      <c r="AC980" s="22"/>
      <c r="AD980" s="22"/>
      <c r="AE980" s="22"/>
      <c r="AF980" s="22"/>
      <c r="AG980" s="22"/>
      <c r="AH980" s="22"/>
      <c r="AI980" s="24"/>
      <c r="AJ980" s="22"/>
      <c r="AK980" s="22"/>
      <c r="AL980" s="22"/>
    </row>
    <row r="981" spans="1:38" ht="14.25" customHeight="1" x14ac:dyDescent="0.35">
      <c r="A981" s="22"/>
      <c r="B981" s="22"/>
      <c r="C981" s="23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4"/>
      <c r="Z981" s="22"/>
      <c r="AA981" s="22"/>
      <c r="AB981" s="22"/>
      <c r="AC981" s="22"/>
      <c r="AD981" s="22"/>
      <c r="AE981" s="22"/>
      <c r="AF981" s="22"/>
      <c r="AG981" s="22"/>
      <c r="AH981" s="22"/>
      <c r="AI981" s="24"/>
      <c r="AJ981" s="22"/>
      <c r="AK981" s="22"/>
      <c r="AL981" s="22"/>
    </row>
    <row r="982" spans="1:38" ht="14.25" customHeight="1" x14ac:dyDescent="0.35">
      <c r="A982" s="22"/>
      <c r="B982" s="22"/>
      <c r="C982" s="23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4"/>
      <c r="Z982" s="22"/>
      <c r="AA982" s="22"/>
      <c r="AB982" s="22"/>
      <c r="AC982" s="22"/>
      <c r="AD982" s="22"/>
      <c r="AE982" s="22"/>
      <c r="AF982" s="22"/>
      <c r="AG982" s="22"/>
      <c r="AH982" s="22"/>
      <c r="AI982" s="24"/>
      <c r="AJ982" s="22"/>
      <c r="AK982" s="22"/>
      <c r="AL982" s="22"/>
    </row>
    <row r="983" spans="1:38" ht="14.25" customHeight="1" x14ac:dyDescent="0.35">
      <c r="A983" s="22"/>
      <c r="B983" s="22"/>
      <c r="C983" s="23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4"/>
      <c r="Z983" s="22"/>
      <c r="AA983" s="22"/>
      <c r="AB983" s="22"/>
      <c r="AC983" s="22"/>
      <c r="AD983" s="22"/>
      <c r="AE983" s="22"/>
      <c r="AF983" s="22"/>
      <c r="AG983" s="22"/>
      <c r="AH983" s="22"/>
      <c r="AI983" s="24"/>
      <c r="AJ983" s="22"/>
      <c r="AK983" s="22"/>
      <c r="AL983" s="22"/>
    </row>
    <row r="984" spans="1:38" ht="14.25" customHeight="1" x14ac:dyDescent="0.35">
      <c r="A984" s="22"/>
      <c r="B984" s="22"/>
      <c r="C984" s="23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4"/>
      <c r="Z984" s="22"/>
      <c r="AA984" s="22"/>
      <c r="AB984" s="22"/>
      <c r="AC984" s="22"/>
      <c r="AD984" s="22"/>
      <c r="AE984" s="22"/>
      <c r="AF984" s="22"/>
      <c r="AG984" s="22"/>
      <c r="AH984" s="22"/>
      <c r="AI984" s="24"/>
      <c r="AJ984" s="22"/>
      <c r="AK984" s="22"/>
      <c r="AL984" s="22"/>
    </row>
    <row r="985" spans="1:38" ht="14.25" customHeight="1" x14ac:dyDescent="0.35">
      <c r="A985" s="22"/>
      <c r="B985" s="22"/>
      <c r="C985" s="23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4"/>
      <c r="Z985" s="22"/>
      <c r="AA985" s="22"/>
      <c r="AB985" s="22"/>
      <c r="AC985" s="22"/>
      <c r="AD985" s="22"/>
      <c r="AE985" s="22"/>
      <c r="AF985" s="22"/>
      <c r="AG985" s="22"/>
      <c r="AH985" s="22"/>
      <c r="AI985" s="24"/>
      <c r="AJ985" s="22"/>
      <c r="AK985" s="22"/>
      <c r="AL985" s="22"/>
    </row>
    <row r="986" spans="1:38" ht="14.25" customHeight="1" x14ac:dyDescent="0.35">
      <c r="A986" s="22"/>
      <c r="B986" s="22"/>
      <c r="C986" s="23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4"/>
      <c r="Z986" s="22"/>
      <c r="AA986" s="22"/>
      <c r="AB986" s="22"/>
      <c r="AC986" s="22"/>
      <c r="AD986" s="22"/>
      <c r="AE986" s="22"/>
      <c r="AF986" s="22"/>
      <c r="AG986" s="22"/>
      <c r="AH986" s="22"/>
      <c r="AI986" s="24"/>
      <c r="AJ986" s="22"/>
      <c r="AK986" s="22"/>
      <c r="AL986" s="22"/>
    </row>
    <row r="987" spans="1:38" ht="14.25" customHeight="1" x14ac:dyDescent="0.35">
      <c r="A987" s="22"/>
      <c r="B987" s="22"/>
      <c r="C987" s="23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4"/>
      <c r="Z987" s="22"/>
      <c r="AA987" s="22"/>
      <c r="AB987" s="22"/>
      <c r="AC987" s="22"/>
      <c r="AD987" s="22"/>
      <c r="AE987" s="22"/>
      <c r="AF987" s="22"/>
      <c r="AG987" s="22"/>
      <c r="AH987" s="22"/>
      <c r="AI987" s="24"/>
      <c r="AJ987" s="22"/>
      <c r="AK987" s="22"/>
      <c r="AL987" s="22"/>
    </row>
    <row r="988" spans="1:38" ht="14.25" customHeight="1" x14ac:dyDescent="0.35">
      <c r="A988" s="22"/>
      <c r="B988" s="22"/>
      <c r="C988" s="23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4"/>
      <c r="Z988" s="22"/>
      <c r="AA988" s="22"/>
      <c r="AB988" s="22"/>
      <c r="AC988" s="22"/>
      <c r="AD988" s="22"/>
      <c r="AE988" s="22"/>
      <c r="AF988" s="22"/>
      <c r="AG988" s="22"/>
      <c r="AH988" s="22"/>
      <c r="AI988" s="24"/>
      <c r="AJ988" s="22"/>
      <c r="AK988" s="22"/>
      <c r="AL988" s="22"/>
    </row>
    <row r="989" spans="1:38" ht="14.25" customHeight="1" x14ac:dyDescent="0.35">
      <c r="A989" s="22"/>
      <c r="B989" s="22"/>
      <c r="C989" s="23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4"/>
      <c r="Z989" s="22"/>
      <c r="AA989" s="22"/>
      <c r="AB989" s="22"/>
      <c r="AC989" s="22"/>
      <c r="AD989" s="22"/>
      <c r="AE989" s="22"/>
      <c r="AF989" s="22"/>
      <c r="AG989" s="22"/>
      <c r="AH989" s="22"/>
      <c r="AI989" s="24"/>
      <c r="AJ989" s="22"/>
      <c r="AK989" s="22"/>
      <c r="AL989" s="22"/>
    </row>
    <row r="990" spans="1:38" ht="14.25" customHeight="1" x14ac:dyDescent="0.35">
      <c r="A990" s="22"/>
      <c r="B990" s="22"/>
      <c r="C990" s="23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4"/>
      <c r="Z990" s="22"/>
      <c r="AA990" s="22"/>
      <c r="AB990" s="22"/>
      <c r="AC990" s="22"/>
      <c r="AD990" s="22"/>
      <c r="AE990" s="22"/>
      <c r="AF990" s="22"/>
      <c r="AG990" s="22"/>
      <c r="AH990" s="22"/>
      <c r="AI990" s="24"/>
      <c r="AJ990" s="22"/>
      <c r="AK990" s="22"/>
      <c r="AL990" s="22"/>
    </row>
    <row r="991" spans="1:38" ht="14.25" customHeight="1" x14ac:dyDescent="0.35">
      <c r="A991" s="22"/>
      <c r="B991" s="22"/>
      <c r="C991" s="23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4"/>
      <c r="Z991" s="22"/>
      <c r="AA991" s="22"/>
      <c r="AB991" s="22"/>
      <c r="AC991" s="22"/>
      <c r="AD991" s="22"/>
      <c r="AE991" s="22"/>
      <c r="AF991" s="22"/>
      <c r="AG991" s="22"/>
      <c r="AH991" s="22"/>
      <c r="AI991" s="24"/>
      <c r="AJ991" s="22"/>
      <c r="AK991" s="22"/>
      <c r="AL991" s="22"/>
    </row>
    <row r="992" spans="1:38" ht="14.25" customHeight="1" x14ac:dyDescent="0.35">
      <c r="A992" s="22"/>
      <c r="B992" s="22"/>
      <c r="C992" s="23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4"/>
      <c r="Z992" s="22"/>
      <c r="AA992" s="22"/>
      <c r="AB992" s="22"/>
      <c r="AC992" s="22"/>
      <c r="AD992" s="22"/>
      <c r="AE992" s="22"/>
      <c r="AF992" s="22"/>
      <c r="AG992" s="22"/>
      <c r="AH992" s="22"/>
      <c r="AI992" s="24"/>
      <c r="AJ992" s="22"/>
      <c r="AK992" s="22"/>
      <c r="AL992" s="22"/>
    </row>
    <row r="993" spans="1:38" ht="14.25" customHeight="1" x14ac:dyDescent="0.35">
      <c r="A993" s="22"/>
      <c r="B993" s="22"/>
      <c r="C993" s="23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4"/>
      <c r="Z993" s="22"/>
      <c r="AA993" s="22"/>
      <c r="AB993" s="22"/>
      <c r="AC993" s="22"/>
      <c r="AD993" s="22"/>
      <c r="AE993" s="22"/>
      <c r="AF993" s="22"/>
      <c r="AG993" s="22"/>
      <c r="AH993" s="22"/>
      <c r="AI993" s="24"/>
      <c r="AJ993" s="22"/>
      <c r="AK993" s="22"/>
      <c r="AL993" s="22"/>
    </row>
    <row r="994" spans="1:38" ht="14.25" customHeight="1" x14ac:dyDescent="0.35">
      <c r="A994" s="22"/>
      <c r="B994" s="22"/>
      <c r="C994" s="23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4"/>
      <c r="Z994" s="22"/>
      <c r="AA994" s="22"/>
      <c r="AB994" s="22"/>
      <c r="AC994" s="22"/>
      <c r="AD994" s="22"/>
      <c r="AE994" s="22"/>
      <c r="AF994" s="22"/>
      <c r="AG994" s="22"/>
      <c r="AH994" s="22"/>
      <c r="AI994" s="24"/>
      <c r="AJ994" s="22"/>
      <c r="AK994" s="22"/>
      <c r="AL994" s="22"/>
    </row>
    <row r="995" spans="1:38" ht="14.25" customHeight="1" x14ac:dyDescent="0.35">
      <c r="A995" s="22"/>
      <c r="B995" s="22"/>
      <c r="C995" s="23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4"/>
      <c r="Z995" s="22"/>
      <c r="AA995" s="22"/>
      <c r="AB995" s="22"/>
      <c r="AC995" s="22"/>
      <c r="AD995" s="22"/>
      <c r="AE995" s="22"/>
      <c r="AF995" s="22"/>
      <c r="AG995" s="22"/>
      <c r="AH995" s="22"/>
      <c r="AI995" s="24"/>
      <c r="AJ995" s="22"/>
      <c r="AK995" s="22"/>
      <c r="AL995" s="22"/>
    </row>
    <row r="996" spans="1:38" ht="14.25" customHeight="1" x14ac:dyDescent="0.35">
      <c r="A996" s="22"/>
      <c r="B996" s="22"/>
      <c r="C996" s="23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4"/>
      <c r="Z996" s="22"/>
      <c r="AA996" s="22"/>
      <c r="AB996" s="22"/>
      <c r="AC996" s="22"/>
      <c r="AD996" s="22"/>
      <c r="AE996" s="22"/>
      <c r="AF996" s="22"/>
      <c r="AG996" s="22"/>
      <c r="AH996" s="22"/>
      <c r="AI996" s="24"/>
      <c r="AJ996" s="22"/>
      <c r="AK996" s="22"/>
      <c r="AL996" s="22"/>
    </row>
    <row r="997" spans="1:38" ht="14.25" customHeight="1" x14ac:dyDescent="0.35">
      <c r="A997" s="22"/>
      <c r="B997" s="22"/>
      <c r="C997" s="23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4"/>
      <c r="Z997" s="22"/>
      <c r="AA997" s="22"/>
      <c r="AB997" s="22"/>
      <c r="AC997" s="22"/>
      <c r="AD997" s="22"/>
      <c r="AE997" s="22"/>
      <c r="AF997" s="22"/>
      <c r="AG997" s="22"/>
      <c r="AH997" s="22"/>
      <c r="AI997" s="24"/>
      <c r="AJ997" s="22"/>
      <c r="AK997" s="22"/>
      <c r="AL997" s="22"/>
    </row>
    <row r="998" spans="1:38" ht="14.25" customHeight="1" x14ac:dyDescent="0.35">
      <c r="A998" s="22"/>
      <c r="B998" s="22"/>
      <c r="C998" s="23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4"/>
      <c r="Z998" s="22"/>
      <c r="AA998" s="22"/>
      <c r="AB998" s="22"/>
      <c r="AC998" s="22"/>
      <c r="AD998" s="22"/>
      <c r="AE998" s="22"/>
      <c r="AF998" s="22"/>
      <c r="AG998" s="22"/>
      <c r="AH998" s="22"/>
      <c r="AI998" s="24"/>
      <c r="AJ998" s="22"/>
      <c r="AK998" s="22"/>
      <c r="AL998" s="22"/>
    </row>
    <row r="999" spans="1:38" ht="14.25" customHeight="1" x14ac:dyDescent="0.35">
      <c r="A999" s="22"/>
      <c r="B999" s="22"/>
      <c r="C999" s="23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4"/>
      <c r="Z999" s="22"/>
      <c r="AA999" s="22"/>
      <c r="AB999" s="22"/>
      <c r="AC999" s="22"/>
      <c r="AD999" s="22"/>
      <c r="AE999" s="22"/>
      <c r="AF999" s="22"/>
      <c r="AG999" s="22"/>
      <c r="AH999" s="22"/>
      <c r="AI999" s="24"/>
      <c r="AJ999" s="22"/>
      <c r="AK999" s="22"/>
      <c r="AL999" s="22"/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TANTI, dr, MBiomed</dc:creator>
  <cp:lastModifiedBy>Wahyu Kusuma</cp:lastModifiedBy>
  <dcterms:created xsi:type="dcterms:W3CDTF">2022-12-25T03:30:00Z</dcterms:created>
  <dcterms:modified xsi:type="dcterms:W3CDTF">2023-06-02T19:18:57Z</dcterms:modified>
</cp:coreProperties>
</file>